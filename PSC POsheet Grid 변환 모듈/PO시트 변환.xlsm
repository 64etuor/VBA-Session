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EKR\OneDrive\SolarEdge\0_프로그램 개발 자료\PSC POsheet Grid 변환 모듈\"/>
    </mc:Choice>
  </mc:AlternateContent>
  <xr:revisionPtr revIDLastSave="0" documentId="13_ncr:1_{1D4695AE-17BC-4495-BD52-2D9FD0DF6DC7}" xr6:coauthVersionLast="47" xr6:coauthVersionMax="47" xr10:uidLastSave="{00000000-0000-0000-0000-000000000000}"/>
  <bookViews>
    <workbookView xWindow="28680" yWindow="-120" windowWidth="29040" windowHeight="15840" activeTab="1" xr2:uid="{767EC2F5-6535-46CF-A9ED-9DF8F443E0E9}"/>
  </bookViews>
  <sheets>
    <sheet name="plan_spl" sheetId="15" r:id="rId1"/>
    <sheet name="Original" sheetId="1" r:id="rId2"/>
    <sheet name="achProcess" sheetId="17" r:id="rId3"/>
    <sheet name="Transformed" sheetId="20" r:id="rId4"/>
  </sheets>
  <externalReferences>
    <externalReference r:id="rId5"/>
  </externalReferences>
  <definedNames>
    <definedName name="불랑유형1">'[1]ref.'!$C$25:$C$28</definedName>
    <definedName name="유실종류목록">'[1]ref.'!$A$25:$A$31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2" i="15" l="1"/>
  <c r="O22" i="15"/>
  <c r="M22" i="15"/>
  <c r="L21" i="15"/>
  <c r="U3" i="15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H4" i="15" s="1"/>
  <c r="H5" i="15" s="1"/>
</calcChain>
</file>

<file path=xl/sharedStrings.xml><?xml version="1.0" encoding="utf-8"?>
<sst xmlns="http://schemas.openxmlformats.org/spreadsheetml/2006/main" count="3303" uniqueCount="529">
  <si>
    <t>Line</t>
  </si>
  <si>
    <t>Type</t>
  </si>
  <si>
    <t xml:space="preserve">Customer </t>
  </si>
  <si>
    <t>Project Name</t>
  </si>
  <si>
    <t>P/O</t>
  </si>
  <si>
    <t>PN</t>
  </si>
  <si>
    <t>Description</t>
  </si>
  <si>
    <t>Remark</t>
  </si>
  <si>
    <t>Sum</t>
  </si>
  <si>
    <t>Finish</t>
  </si>
  <si>
    <t>MD</t>
  </si>
  <si>
    <t>ESS_MD</t>
  </si>
  <si>
    <t>KMD255166E222F1</t>
  </si>
  <si>
    <t>Product: KMD255166E222F1, 46TRAY  WITH PUNCHING CRP CELL</t>
  </si>
  <si>
    <t>Pacific Energy Renewables WA Pty Ltd</t>
  </si>
  <si>
    <t>음성 NEW</t>
  </si>
  <si>
    <t>논산</t>
  </si>
  <si>
    <t>LSO2</t>
  </si>
  <si>
    <t>23P30017</t>
  </si>
  <si>
    <t>23P30018</t>
  </si>
  <si>
    <t>23P30019</t>
  </si>
  <si>
    <t>UPS_MD</t>
  </si>
  <si>
    <t>ACE Power Engineering Pte Ltd</t>
  </si>
  <si>
    <t>RED project</t>
  </si>
  <si>
    <t>KMD255109P135A1</t>
  </si>
  <si>
    <t xml:space="preserve">Product : KMD255109P135A1, 40TRAY  WITH PUNCHING CRP CELL </t>
  </si>
  <si>
    <t>Vertiv (Hong Kong) Limited</t>
  </si>
  <si>
    <t>23P30028</t>
  </si>
  <si>
    <t>SYS</t>
  </si>
  <si>
    <t>ESS_Rack</t>
  </si>
  <si>
    <t>KST200971F26AAB12</t>
  </si>
  <si>
    <t>CRP 103Ah 2P22S Separable 2C6R COVER / Link Type Rack</t>
  </si>
  <si>
    <t>KBC11040003</t>
  </si>
  <si>
    <t>UPS_Rack</t>
  </si>
  <si>
    <t>KST043515A14ADC01</t>
  </si>
  <si>
    <t xml:space="preserve">Product : KST043515A14ADC01 1P35S, 1C4R(140S), IEC 62619, IEC62477-1, EMC Cetificate </t>
  </si>
  <si>
    <t>KBC06018000</t>
  </si>
  <si>
    <t>Product : KBC06018000, T2-BCP1960</t>
  </si>
  <si>
    <t>KRJ07503205</t>
  </si>
  <si>
    <t>Product : KRJ07503205, T2-RJP1960-4P</t>
  </si>
  <si>
    <t>23P30020</t>
  </si>
  <si>
    <t>23P30021</t>
  </si>
  <si>
    <t>23P30022</t>
  </si>
  <si>
    <t>23P30023</t>
  </si>
  <si>
    <t>23P30024</t>
  </si>
  <si>
    <t>23P30025</t>
  </si>
  <si>
    <t>ABB Sp. Z.o.o.</t>
  </si>
  <si>
    <t>DART 2.5MW</t>
  </si>
  <si>
    <t>23P30067</t>
  </si>
  <si>
    <t>Daitron Co., LTD</t>
  </si>
  <si>
    <t>Shinagawa</t>
  </si>
  <si>
    <t>23P30083</t>
  </si>
  <si>
    <t>Product: KBC11040003(Std.ESS BCP 4000A, MA-DC-A0</t>
  </si>
  <si>
    <t>23P30084</t>
  </si>
  <si>
    <t>KST043515A14ADC02</t>
  </si>
  <si>
    <t>PRODUCT : KST043515A14ADC02 1P35S, 1C4R(140S)</t>
  </si>
  <si>
    <t>23P30029</t>
  </si>
  <si>
    <t>iAdvantage TKO 131 800kV</t>
  </si>
  <si>
    <t>KBBZZZZZZ02</t>
  </si>
  <si>
    <t>Bank BMS Panel for UPS (w/ IO logik)_BLACK</t>
  </si>
  <si>
    <t>Status</t>
  </si>
  <si>
    <t>TBD</t>
  </si>
  <si>
    <t>KBBZZZZZZ03</t>
  </si>
  <si>
    <t>Product : KBBZZZZZZ03</t>
  </si>
  <si>
    <t>날짜</t>
    <phoneticPr fontId="1" type="noConversion"/>
  </si>
  <si>
    <t>BCP</t>
    <phoneticPr fontId="1" type="noConversion"/>
  </si>
  <si>
    <t>BPU</t>
    <phoneticPr fontId="1" type="noConversion"/>
  </si>
  <si>
    <t>Rack</t>
    <phoneticPr fontId="1" type="noConversion"/>
  </si>
  <si>
    <t>Cont</t>
    <phoneticPr fontId="1" type="noConversion"/>
  </si>
  <si>
    <t>W/O</t>
  </si>
  <si>
    <t>PO Qty</t>
    <phoneticPr fontId="1" type="noConversion"/>
  </si>
  <si>
    <t>사전준비</t>
    <phoneticPr fontId="1" type="noConversion"/>
  </si>
  <si>
    <t>SBP제작</t>
    <phoneticPr fontId="1" type="noConversion"/>
  </si>
  <si>
    <t>차단기조립</t>
    <phoneticPr fontId="1" type="noConversion"/>
  </si>
  <si>
    <t>완성</t>
    <phoneticPr fontId="1" type="noConversion"/>
  </si>
  <si>
    <t>BPU준비</t>
    <phoneticPr fontId="1" type="noConversion"/>
  </si>
  <si>
    <t>BPU조립</t>
    <phoneticPr fontId="1" type="noConversion"/>
  </si>
  <si>
    <t>BPU완성</t>
    <phoneticPr fontId="1" type="noConversion"/>
  </si>
  <si>
    <t>Rack준비</t>
    <phoneticPr fontId="1" type="noConversion"/>
  </si>
  <si>
    <t>Rack조립</t>
    <phoneticPr fontId="1" type="noConversion"/>
  </si>
  <si>
    <t>Rack완성</t>
    <phoneticPr fontId="1" type="noConversion"/>
  </si>
  <si>
    <t>Rack출하준비</t>
    <phoneticPr fontId="1" type="noConversion"/>
  </si>
  <si>
    <t>Cont준비</t>
    <phoneticPr fontId="1" type="noConversion"/>
  </si>
  <si>
    <t>Cont배선</t>
    <phoneticPr fontId="1" type="noConversion"/>
  </si>
  <si>
    <t>BCP설치</t>
    <phoneticPr fontId="1" type="noConversion"/>
  </si>
  <si>
    <t>모듈실장</t>
    <phoneticPr fontId="1" type="noConversion"/>
  </si>
  <si>
    <t>버스바연결</t>
    <phoneticPr fontId="1" type="noConversion"/>
  </si>
  <si>
    <t>청소</t>
    <phoneticPr fontId="1" type="noConversion"/>
  </si>
  <si>
    <t>LSO1</t>
  </si>
  <si>
    <t>23P30015</t>
  </si>
  <si>
    <t>23P30015KST12</t>
  </si>
  <si>
    <t>23P30016</t>
  </si>
  <si>
    <t>23P30016KST12</t>
  </si>
  <si>
    <t>TBDKST12</t>
  </si>
  <si>
    <t>ST</t>
    <phoneticPr fontId="1" type="noConversion"/>
  </si>
  <si>
    <t>계획 시트</t>
    <phoneticPr fontId="1" type="noConversion"/>
  </si>
  <si>
    <t>필요공수</t>
    <phoneticPr fontId="1" type="noConversion"/>
  </si>
  <si>
    <t>인원</t>
    <phoneticPr fontId="1" type="noConversion"/>
  </si>
  <si>
    <t>보유공수</t>
    <phoneticPr fontId="1" type="noConversion"/>
  </si>
  <si>
    <t>잔여공수</t>
    <phoneticPr fontId="1" type="noConversion"/>
  </si>
  <si>
    <t>Date</t>
    <phoneticPr fontId="1" type="noConversion"/>
  </si>
  <si>
    <t>공정명</t>
    <phoneticPr fontId="1" type="noConversion"/>
  </si>
  <si>
    <t>Plan Qty</t>
    <phoneticPr fontId="1" type="noConversion"/>
  </si>
  <si>
    <t>Module조립</t>
  </si>
  <si>
    <t>MD_PACK</t>
  </si>
  <si>
    <t>ESS_Con</t>
  </si>
  <si>
    <t>버스바(통신)체결</t>
  </si>
  <si>
    <t>ESS_BCP</t>
  </si>
  <si>
    <t>UPS_BCP</t>
  </si>
  <si>
    <t>UPS_RJP</t>
  </si>
  <si>
    <t>배선작업(내부)</t>
  </si>
  <si>
    <t>ESS_BPU</t>
  </si>
  <si>
    <t>BPU조립</t>
  </si>
  <si>
    <t>UPS_BPU</t>
  </si>
  <si>
    <t>Hitachi Energy Australia Pty Ltd</t>
  </si>
  <si>
    <t>Dummy module</t>
  </si>
  <si>
    <t>ABB s.r.o.</t>
  </si>
  <si>
    <t>KMD255100P132A1</t>
  </si>
  <si>
    <t>KBC11040004</t>
  </si>
  <si>
    <t>Product: KBC11040004(Std.ESS BCP 4000A, MA-DC-A067, Type-B)</t>
  </si>
  <si>
    <t>KBC11040005</t>
  </si>
  <si>
    <t>MS-BU-A039</t>
  </si>
  <si>
    <t>KST054644A15ADC01</t>
  </si>
  <si>
    <t>KST050588A15ADC01</t>
  </si>
  <si>
    <t>Product : KST054644A15ADC01 1P35S, 1C5R(175S), I</t>
  </si>
  <si>
    <t>KBC07540000</t>
  </si>
  <si>
    <t>Powertech</t>
  </si>
  <si>
    <t>Conoco Philips Spinning Reserve BESS</t>
  </si>
  <si>
    <t>24P30006</t>
  </si>
  <si>
    <t>R&amp;D</t>
  </si>
  <si>
    <t>UL 9540 시료</t>
  </si>
  <si>
    <t>24P30007</t>
  </si>
  <si>
    <t>KMD255166E222F3</t>
  </si>
  <si>
    <t xml:space="preserve">Product: KMD255166E222F3, 46TRAY  WITH PUNCHING CRP CELL </t>
  </si>
  <si>
    <t>음성 old</t>
  </si>
  <si>
    <t>KMD255166E222F3-Dummy</t>
  </si>
  <si>
    <t>Dummy</t>
  </si>
  <si>
    <t>Carnarvon Spare Parts</t>
  </si>
  <si>
    <t>24P30005</t>
  </si>
  <si>
    <t>KMD255125P220F0</t>
  </si>
  <si>
    <t>Product: KMD255125P220F0, 42TRAY  MODULE</t>
  </si>
  <si>
    <t>C/S Cell 배정</t>
  </si>
  <si>
    <t>ABB Australia Pty Ltd</t>
  </si>
  <si>
    <t>Sure Power 160S Racks</t>
  </si>
  <si>
    <t>23P30086</t>
  </si>
  <si>
    <t>Product : KMD255100P132A1, 40TRAY  WITH CRP PUNCHING CELL</t>
  </si>
  <si>
    <t>Kevlin X UPS Project</t>
  </si>
  <si>
    <t>23P30082</t>
  </si>
  <si>
    <t xml:space="preserve">Product: KBC11040003(Std.ESS BCP 4000A, MA-DC-A067, Type-A) </t>
  </si>
  <si>
    <t xml:space="preserve">Product: KBC11040005(Std.ESS BCP 4000A, MA-DC-A067, Type-C) </t>
  </si>
  <si>
    <t>85Ah 1P32S 1C5R Battery Rack</t>
  </si>
  <si>
    <t>23P30051</t>
  </si>
  <si>
    <t>4000A Battery Connection Panel with extension box</t>
  </si>
  <si>
    <t>ETC</t>
  </si>
  <si>
    <t>Product: KBP110050EB200</t>
  </si>
  <si>
    <t>ASK-MA-HI-A004</t>
  </si>
  <si>
    <t>CASE ASSY,FUSE of Standard ESS 3C4R 103Ah Rack(2P22Sx12S)</t>
  </si>
  <si>
    <t>24P30008</t>
  </si>
  <si>
    <t>ASK-MS-YB-A025</t>
  </si>
  <si>
    <t>BUSBAR ASSY, BCP, ADAPTER, 3C4R of Standard ESS</t>
  </si>
  <si>
    <t>achProcess</t>
  </si>
  <si>
    <t>음성 NEW
-&gt; 음성 old</t>
  </si>
  <si>
    <t>UPS_BBP</t>
  </si>
  <si>
    <t>TBD(재고생산)</t>
  </si>
  <si>
    <t>Kobunacho Add. Rack</t>
  </si>
  <si>
    <t>24P30009</t>
  </si>
  <si>
    <t>KMD255103P133A1</t>
  </si>
  <si>
    <t>Product : KMD255103P133A1, 40TRAY  WITH CRP PUNCHING CELL</t>
  </si>
  <si>
    <t>24P30012</t>
  </si>
  <si>
    <t>finish</t>
  </si>
  <si>
    <t>KST041485A14ADC02</t>
  </si>
  <si>
    <t>PRODUCT : KST041485A14ADC02 1P33S, 1C4R(132S)</t>
  </si>
  <si>
    <t>PACK</t>
  </si>
  <si>
    <t>KMD255151E220L2</t>
  </si>
  <si>
    <t>KOL Module A Type 103Ah</t>
  </si>
  <si>
    <t>KMD255151E220L3</t>
  </si>
  <si>
    <t>KOL Module B Type 103Ah</t>
  </si>
  <si>
    <t>ER_MD</t>
  </si>
  <si>
    <t>Gen 2.0</t>
  </si>
  <si>
    <t>Gen 2.0 ER</t>
  </si>
  <si>
    <t>-</t>
  </si>
  <si>
    <t>Gen 2.0 Module + Dummy</t>
  </si>
  <si>
    <t>24P30013</t>
  </si>
  <si>
    <t>Date</t>
  </si>
  <si>
    <t>PlanQ'ty</t>
  </si>
  <si>
    <t>Plan_ID</t>
  </si>
  <si>
    <t>AchProcess</t>
  </si>
  <si>
    <t>P1</t>
  </si>
  <si>
    <t>23P30019KMD222F1</t>
  </si>
  <si>
    <t>P2</t>
  </si>
  <si>
    <t>P3</t>
  </si>
  <si>
    <t>23P30020KMD222F1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</si>
  <si>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</si>
  <si>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</si>
  <si>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</si>
  <si>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</si>
  <si>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</si>
  <si>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</si>
  <si>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</si>
  <si>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</si>
  <si>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</si>
  <si>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</si>
  <si>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23P30021KMD222F1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</si>
  <si>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</si>
  <si>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</si>
  <si>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</si>
  <si>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</si>
  <si>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</si>
  <si>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</si>
  <si>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</si>
  <si>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</si>
  <si>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</si>
  <si>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23P30022KMD222F1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</si>
  <si>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</si>
  <si>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</si>
  <si>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</si>
  <si>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</si>
  <si>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</si>
  <si>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</si>
  <si>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</si>
  <si>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</si>
  <si>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</si>
  <si>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23P30023KMD222F1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</si>
  <si>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</si>
  <si>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</si>
  <si>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</si>
  <si>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</si>
  <si>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</si>
  <si>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</si>
  <si>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</si>
  <si>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</si>
  <si>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</si>
  <si>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23P30024KMD222F1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</si>
  <si>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</si>
  <si>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</si>
  <si>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</si>
  <si>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</si>
  <si>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</si>
  <si>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</si>
  <si>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</si>
  <si>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</si>
  <si>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</si>
  <si>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</si>
  <si>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P51</t>
  </si>
  <si>
    <t>23P30025KMD222F1</t>
  </si>
  <si>
    <t>P52</t>
  </si>
  <si>
    <t>P53</t>
  </si>
  <si>
    <t>P54</t>
  </si>
  <si>
    <t>P55</t>
  </si>
  <si>
    <t>P56</t>
  </si>
  <si>
    <t>P57</t>
  </si>
  <si>
    <t>P58</t>
  </si>
  <si>
    <t>P59</t>
  </si>
  <si>
    <t>P60</t>
  </si>
  <si>
    <t>P61</t>
  </si>
  <si>
    <t>P62</t>
  </si>
  <si>
    <t>23P30067KMD222F1</t>
  </si>
  <si>
    <t>P63</t>
  </si>
  <si>
    <t>P64</t>
  </si>
  <si>
    <t>P65</t>
  </si>
  <si>
    <t>P66</t>
  </si>
  <si>
    <t>P67</t>
  </si>
  <si>
    <t>P68</t>
  </si>
  <si>
    <t>P69</t>
  </si>
  <si>
    <t>24P30008KMD222F1</t>
  </si>
  <si>
    <t>P70</t>
  </si>
  <si>
    <t>P71</t>
  </si>
  <si>
    <t>P72</t>
  </si>
  <si>
    <t>P73</t>
  </si>
  <si>
    <t>P74</t>
  </si>
  <si>
    <t>P75</t>
  </si>
  <si>
    <t>P76</t>
  </si>
  <si>
    <t>P77</t>
  </si>
  <si>
    <t>P78</t>
  </si>
  <si>
    <t>P79</t>
  </si>
  <si>
    <t>P80</t>
  </si>
  <si>
    <t>P81</t>
  </si>
  <si>
    <t>P82</t>
  </si>
  <si>
    <t>P83</t>
  </si>
  <si>
    <t>P84</t>
  </si>
  <si>
    <t>P85</t>
  </si>
  <si>
    <t>P86</t>
  </si>
  <si>
    <t>P87</t>
  </si>
  <si>
    <t>P88</t>
  </si>
  <si>
    <t>P89</t>
  </si>
  <si>
    <t>24P30007KMD222F3</t>
  </si>
  <si>
    <t>P90</t>
  </si>
  <si>
    <t>24P30007KMDDummy</t>
  </si>
  <si>
    <t>P91</t>
  </si>
  <si>
    <t>24P30005KMD220F0</t>
  </si>
  <si>
    <t>P92</t>
  </si>
  <si>
    <t>23P30083KMD135A1</t>
  </si>
  <si>
    <t>P93</t>
  </si>
  <si>
    <t>23P30028KMD135A1</t>
  </si>
  <si>
    <t>P94</t>
  </si>
  <si>
    <t>23P30086KMD132A1</t>
  </si>
  <si>
    <t>P95</t>
  </si>
  <si>
    <t>P96</t>
  </si>
  <si>
    <t>23P30082KMD135A1</t>
  </si>
  <si>
    <t>P97</t>
  </si>
  <si>
    <t>P98</t>
  </si>
  <si>
    <t>P99</t>
  </si>
  <si>
    <t>P100</t>
  </si>
  <si>
    <t>P101</t>
  </si>
  <si>
    <t>P102</t>
  </si>
  <si>
    <t>P103</t>
  </si>
  <si>
    <t>P104</t>
  </si>
  <si>
    <t>P105</t>
  </si>
  <si>
    <t>P106</t>
  </si>
  <si>
    <t>24P30009KMD133A1</t>
  </si>
  <si>
    <t>P107</t>
  </si>
  <si>
    <t>P108</t>
  </si>
  <si>
    <t>P109</t>
  </si>
  <si>
    <t>P110</t>
  </si>
  <si>
    <t>P111</t>
  </si>
  <si>
    <t>P112</t>
  </si>
  <si>
    <t>P113</t>
  </si>
  <si>
    <t>24P30012KMD133A1</t>
  </si>
  <si>
    <t>P114</t>
  </si>
  <si>
    <t>P115</t>
  </si>
  <si>
    <t>23P30019KSTAAB12</t>
  </si>
  <si>
    <t>P116</t>
  </si>
  <si>
    <t>P117</t>
  </si>
  <si>
    <t>P118</t>
  </si>
  <si>
    <t>23P30020KSTAAB12</t>
  </si>
  <si>
    <t>P119</t>
  </si>
  <si>
    <t>P120</t>
  </si>
  <si>
    <t>P121</t>
  </si>
  <si>
    <t>P122</t>
  </si>
  <si>
    <t>23P30021KSTAAB12</t>
  </si>
  <si>
    <t>P123</t>
  </si>
  <si>
    <t>P124</t>
  </si>
  <si>
    <t>P125</t>
  </si>
  <si>
    <t>P126</t>
  </si>
  <si>
    <t>P127</t>
  </si>
  <si>
    <t>23P30022KSTAAB12</t>
  </si>
  <si>
    <t>P128</t>
  </si>
  <si>
    <t>P129</t>
  </si>
  <si>
    <t>P130</t>
  </si>
  <si>
    <t>P131</t>
  </si>
  <si>
    <t>P132</t>
  </si>
  <si>
    <t>23P30023KSTAAB12</t>
  </si>
  <si>
    <t>P133</t>
  </si>
  <si>
    <t>P134</t>
  </si>
  <si>
    <t>P135</t>
  </si>
  <si>
    <t>P136</t>
  </si>
  <si>
    <t>P137</t>
  </si>
  <si>
    <t>23P30024KSTAAB12</t>
  </si>
  <si>
    <t>P138</t>
  </si>
  <si>
    <t>P139</t>
  </si>
  <si>
    <t>P140</t>
  </si>
  <si>
    <t>P141</t>
  </si>
  <si>
    <t>23P30025KSTAAB12</t>
  </si>
  <si>
    <t>P142</t>
  </si>
  <si>
    <t>P143</t>
  </si>
  <si>
    <t>P144</t>
  </si>
  <si>
    <t>P145</t>
  </si>
  <si>
    <t>P146</t>
  </si>
  <si>
    <t>P147</t>
  </si>
  <si>
    <t>23P30067KSTAAB12</t>
  </si>
  <si>
    <t>P148</t>
  </si>
  <si>
    <t>P149</t>
  </si>
  <si>
    <t>P150</t>
  </si>
  <si>
    <t>24P30008KSTAAB12</t>
  </si>
  <si>
    <t>P151</t>
  </si>
  <si>
    <t>P152</t>
  </si>
  <si>
    <t>P153</t>
  </si>
  <si>
    <t>P154</t>
  </si>
  <si>
    <t>P155</t>
  </si>
  <si>
    <t>P156</t>
  </si>
  <si>
    <t>P157</t>
  </si>
  <si>
    <t>P158</t>
  </si>
  <si>
    <t>23P30017KBC40003</t>
  </si>
  <si>
    <t>P159</t>
  </si>
  <si>
    <t>P160</t>
  </si>
  <si>
    <t>P161</t>
  </si>
  <si>
    <t>P162</t>
  </si>
  <si>
    <t>23P30017KBC40004</t>
  </si>
  <si>
    <t>P163</t>
  </si>
  <si>
    <t>23P30017KBC40005</t>
  </si>
  <si>
    <t>P164</t>
  </si>
  <si>
    <t>23P30067KBC40003</t>
  </si>
  <si>
    <t>P165</t>
  </si>
  <si>
    <t>24P30006KBC40003</t>
  </si>
  <si>
    <t>P166</t>
  </si>
  <si>
    <t>P167</t>
  </si>
  <si>
    <t>23P30083KSTADC02</t>
  </si>
  <si>
    <t>P168</t>
  </si>
  <si>
    <t>23P30028KSTADC01</t>
  </si>
  <si>
    <t>P169</t>
  </si>
  <si>
    <t>23P30086KSTADC01</t>
  </si>
  <si>
    <t>P170</t>
  </si>
  <si>
    <t>P171</t>
  </si>
  <si>
    <t>23P30082KSTADC01</t>
  </si>
  <si>
    <t>P172</t>
  </si>
  <si>
    <t>P173</t>
  </si>
  <si>
    <t>P174</t>
  </si>
  <si>
    <t>P175</t>
  </si>
  <si>
    <t>P176</t>
  </si>
  <si>
    <t>P177</t>
  </si>
  <si>
    <t>24P30009KSTADC02</t>
  </si>
  <si>
    <t>P178</t>
  </si>
  <si>
    <t>P179</t>
  </si>
  <si>
    <t>P180</t>
  </si>
  <si>
    <t>P181</t>
  </si>
  <si>
    <t>P182</t>
  </si>
  <si>
    <t>P183</t>
  </si>
  <si>
    <t>24P30012KSTADC02</t>
  </si>
  <si>
    <t>P184</t>
  </si>
  <si>
    <t>P185</t>
  </si>
  <si>
    <t>23P30084KBC18000</t>
  </si>
  <si>
    <t>P186</t>
  </si>
  <si>
    <t>23P30084KRJ03205</t>
  </si>
  <si>
    <t>P187</t>
  </si>
  <si>
    <t>23P30083KBBZZZ02</t>
  </si>
  <si>
    <t>P188</t>
  </si>
  <si>
    <t>23P30051KBBZZZ03</t>
  </si>
  <si>
    <t>P189</t>
  </si>
  <si>
    <t>P190</t>
  </si>
  <si>
    <t>23P30029KBC18000</t>
  </si>
  <si>
    <t>P191</t>
  </si>
  <si>
    <t>23P30086KBC40000</t>
  </si>
  <si>
    <t>P192</t>
  </si>
  <si>
    <t>23P30082KBC40000</t>
  </si>
  <si>
    <t>P193</t>
  </si>
  <si>
    <t>P194</t>
  </si>
  <si>
    <t>24P30009KBBZZZ02</t>
  </si>
  <si>
    <t>P195</t>
  </si>
  <si>
    <t>24P30012KBBZZZ02</t>
  </si>
  <si>
    <t>P196</t>
  </si>
  <si>
    <t>24P30007MS--A039</t>
  </si>
  <si>
    <t>P197</t>
  </si>
  <si>
    <t>24P30007ASK-A004</t>
  </si>
  <si>
    <t>P198</t>
  </si>
  <si>
    <t>24P30013ASK-A025</t>
  </si>
  <si>
    <t>UPS_BBP</t>
    <phoneticPr fontId="1" type="noConversion"/>
  </si>
  <si>
    <t>UPS_RJP</t>
    <phoneticPr fontId="1" type="noConversion"/>
  </si>
  <si>
    <t>UPS_BCP</t>
    <phoneticPr fontId="1" type="noConversion"/>
  </si>
  <si>
    <t>BBP</t>
    <phoneticPr fontId="1" type="noConversion"/>
  </si>
  <si>
    <t>Yusin HR</t>
  </si>
  <si>
    <t>수산계고교 실습선</t>
  </si>
  <si>
    <t>24P30003</t>
  </si>
  <si>
    <t>24P30003-1</t>
  </si>
  <si>
    <t>완도군 다목적 행정선</t>
  </si>
  <si>
    <t>24P30011</t>
  </si>
  <si>
    <t>24P30011-1</t>
  </si>
  <si>
    <t>24P30012-1</t>
  </si>
  <si>
    <t>Vertiv (Hong Kong)</t>
  </si>
  <si>
    <t>M2 2F</t>
  </si>
  <si>
    <t>24P30017</t>
  </si>
  <si>
    <t>24P30016</t>
  </si>
  <si>
    <t>Product : KST050588A15ADC01 1P32S, 1C5R(160S), IEC 62619, IEC62477-1, EMC Cetificate</t>
  </si>
  <si>
    <t>BCP</t>
  </si>
  <si>
    <t>KBC06018001</t>
  </si>
  <si>
    <t xml:space="preserve">Product : KBC06018001, T2-BCP2300 </t>
  </si>
  <si>
    <t>RJP</t>
  </si>
  <si>
    <t>KRJ07503215</t>
  </si>
  <si>
    <t xml:space="preserve">Product : KRJ07503215, T2-RJP2300-6P </t>
  </si>
  <si>
    <t>KBC06010000</t>
  </si>
  <si>
    <t>Product : KBC06010000, T2-BCP1960-2P</t>
  </si>
  <si>
    <t>BPU</t>
  </si>
  <si>
    <t>KBP100050EC204</t>
  </si>
  <si>
    <t>BPU, KOL, DNV, 1000VDC, Rated 500A</t>
  </si>
  <si>
    <t>F/B</t>
  </si>
  <si>
    <t>KFB15005001</t>
  </si>
  <si>
    <t>Fuse box, KOL, 1500VDC, 500A, 100kA, IP56</t>
  </si>
  <si>
    <t>24P30003KMD220L2</t>
  </si>
  <si>
    <t>24P30003-1KMD220L3</t>
  </si>
  <si>
    <t>24P30011KMD220L2</t>
  </si>
  <si>
    <t>24P30011-1KMD220L3</t>
  </si>
  <si>
    <t>24P30012-1KMD135A1</t>
  </si>
  <si>
    <t>24P30017KMD135A1</t>
  </si>
  <si>
    <t>24P30016KMD132A1</t>
  </si>
  <si>
    <t>P199</t>
  </si>
  <si>
    <t>P200</t>
  </si>
  <si>
    <t>P201</t>
  </si>
  <si>
    <t>P202</t>
  </si>
  <si>
    <t>P203</t>
  </si>
  <si>
    <t>P204</t>
  </si>
  <si>
    <t>P205</t>
  </si>
  <si>
    <t>P206</t>
  </si>
  <si>
    <t>P207</t>
  </si>
  <si>
    <t>P208</t>
  </si>
  <si>
    <t>P209</t>
  </si>
  <si>
    <t>P210</t>
  </si>
  <si>
    <t>24P30012-1KSTADC02</t>
  </si>
  <si>
    <t>P211</t>
  </si>
  <si>
    <t>24P30017KSTADC01</t>
  </si>
  <si>
    <t>P212</t>
  </si>
  <si>
    <t>24P30016KSTADC01</t>
  </si>
  <si>
    <t>P213</t>
  </si>
  <si>
    <t>P214</t>
  </si>
  <si>
    <t>P215</t>
  </si>
  <si>
    <t>P216</t>
  </si>
  <si>
    <t>P217</t>
  </si>
  <si>
    <t>P218</t>
  </si>
  <si>
    <t>P219</t>
  </si>
  <si>
    <t>P220</t>
  </si>
  <si>
    <t>P221</t>
  </si>
  <si>
    <t>P222</t>
  </si>
  <si>
    <t>P223</t>
  </si>
  <si>
    <t>P224</t>
  </si>
  <si>
    <t>P225</t>
  </si>
  <si>
    <t>P226</t>
  </si>
  <si>
    <t>P227</t>
  </si>
  <si>
    <t>P228</t>
  </si>
  <si>
    <t>P229</t>
  </si>
  <si>
    <t>P230</t>
  </si>
  <si>
    <t>24P30016KBC18001</t>
  </si>
  <si>
    <t>P231</t>
  </si>
  <si>
    <t>P232</t>
  </si>
  <si>
    <t>24P30016KRJ03215</t>
  </si>
  <si>
    <t>P233</t>
  </si>
  <si>
    <t>P234</t>
  </si>
  <si>
    <t>24P30017KBC10000</t>
  </si>
  <si>
    <t>P235</t>
  </si>
  <si>
    <t>P236</t>
  </si>
  <si>
    <t>P237</t>
  </si>
  <si>
    <t>P238</t>
  </si>
  <si>
    <t>P239</t>
  </si>
  <si>
    <t>24P30003KBPEC204</t>
  </si>
  <si>
    <t>P240</t>
  </si>
  <si>
    <t>P241</t>
  </si>
  <si>
    <t>24P30003KFB05001</t>
  </si>
  <si>
    <t>P242</t>
  </si>
  <si>
    <t>P243</t>
  </si>
  <si>
    <t>24P30011KBPEC204</t>
  </si>
  <si>
    <t>P244</t>
  </si>
  <si>
    <t>24P30011KFB05001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</si>
</sst>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</cellXfs>
  <cellStyles count="1">
    <cellStyle name="표준" xfId="0" builtinId="0"/>
  </cellStyles>
  <dxfs count="1"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olaredge0.sharepoint.com/sites/SystemProductionTeam/Shared%20Documents/System%20Production%20Team/Z_DB/System%20Production%20&#49373;&#49328;&#51068;&#48372;_R0.xlsm" TargetMode="External"/><Relationship Id="rId1" Type="http://schemas.openxmlformats.org/officeDocument/2006/relationships/externalLinkPath" Target="https://solaredge0.sharepoint.com/sites/SystemProductionTeam/Shared%20Documents/System%20Production%20Team/Z_DB/System%20Production%20&#49373;&#49328;&#51068;&#48372;_R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_input"/>
      <sheetName val="def_input"/>
      <sheetName val="att_raw"/>
      <sheetName val="prod_raw"/>
      <sheetName val="wo_raw"/>
      <sheetName val="ref."/>
      <sheetName val="rev."/>
    </sheetNames>
    <sheetDataSet>
      <sheetData sheetId="0"/>
      <sheetData sheetId="1"/>
      <sheetData sheetId="2"/>
      <sheetData sheetId="3"/>
      <sheetData sheetId="4"/>
      <sheetData sheetId="5">
        <row r="25">
          <cell r="A25" t="str">
            <v>설비고장/수리</v>
          </cell>
          <cell r="C25" t="str">
            <v>작업불량</v>
          </cell>
        </row>
        <row r="26">
          <cell r="A26" t="str">
            <v>자재 결품</v>
          </cell>
          <cell r="C26" t="str">
            <v>원자재불량</v>
          </cell>
        </row>
        <row r="27">
          <cell r="A27" t="str">
            <v>자재 불량</v>
          </cell>
          <cell r="C27" t="str">
            <v>설비불량</v>
          </cell>
        </row>
        <row r="28">
          <cell r="A28" t="str">
            <v>설계 불량</v>
          </cell>
          <cell r="C28" t="str">
            <v>QC불량</v>
          </cell>
        </row>
        <row r="29">
          <cell r="A29" t="str">
            <v>기종 변경</v>
          </cell>
        </row>
        <row r="30">
          <cell r="A30" t="str">
            <v>물량 부족</v>
          </cell>
        </row>
        <row r="31">
          <cell r="A31" t="str">
            <v>외주작업 지연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96FEB-B570-4BBF-9AB0-E37191B62F38}">
  <sheetPr codeName="Sheet7"/>
  <dimension ref="A1:X28"/>
  <sheetViews>
    <sheetView workbookViewId="0">
      <selection activeCell="D27" sqref="D27"/>
    </sheetView>
  </sheetViews>
  <sheetFormatPr defaultRowHeight="16.5" x14ac:dyDescent="0.3"/>
  <cols>
    <col min="1" max="1" width="11.125" bestFit="1" customWidth="1"/>
    <col min="3" max="3" width="18.5" customWidth="1"/>
    <col min="5" max="7" width="15.375" customWidth="1"/>
    <col min="12" max="12" width="11.125" bestFit="1" customWidth="1"/>
  </cols>
  <sheetData>
    <row r="1" spans="1:24" x14ac:dyDescent="0.3">
      <c r="F1" s="2" t="s">
        <v>64</v>
      </c>
      <c r="G1" s="3">
        <v>45267</v>
      </c>
      <c r="H1" s="4" t="s">
        <v>65</v>
      </c>
      <c r="I1" s="4" t="s">
        <v>65</v>
      </c>
      <c r="J1" s="4" t="s">
        <v>65</v>
      </c>
      <c r="K1" s="4" t="s">
        <v>65</v>
      </c>
      <c r="L1" s="4" t="s">
        <v>66</v>
      </c>
      <c r="M1" s="4" t="s">
        <v>66</v>
      </c>
      <c r="N1" s="4" t="s">
        <v>66</v>
      </c>
      <c r="O1" s="4" t="s">
        <v>67</v>
      </c>
      <c r="P1" s="4" t="s">
        <v>67</v>
      </c>
      <c r="Q1" s="4" t="s">
        <v>67</v>
      </c>
      <c r="R1" s="4" t="s">
        <v>67</v>
      </c>
      <c r="S1" s="4" t="s">
        <v>68</v>
      </c>
      <c r="T1" s="4" t="s">
        <v>68</v>
      </c>
      <c r="U1" s="4" t="s">
        <v>68</v>
      </c>
      <c r="V1" s="4" t="s">
        <v>68</v>
      </c>
      <c r="W1" s="4" t="s">
        <v>68</v>
      </c>
      <c r="X1" s="4" t="s">
        <v>68</v>
      </c>
    </row>
    <row r="2" spans="1:24" x14ac:dyDescent="0.3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69</v>
      </c>
      <c r="G2" s="4" t="s">
        <v>70</v>
      </c>
      <c r="H2" s="4" t="s">
        <v>71</v>
      </c>
      <c r="I2" s="4" t="s">
        <v>72</v>
      </c>
      <c r="J2" s="4" t="s">
        <v>73</v>
      </c>
      <c r="K2" s="4" t="s">
        <v>74</v>
      </c>
      <c r="L2" s="4" t="s">
        <v>75</v>
      </c>
      <c r="M2" s="4" t="s">
        <v>76</v>
      </c>
      <c r="N2" s="4" t="s">
        <v>77</v>
      </c>
      <c r="O2" s="4" t="s">
        <v>78</v>
      </c>
      <c r="P2" s="4" t="s">
        <v>79</v>
      </c>
      <c r="Q2" s="4" t="s">
        <v>80</v>
      </c>
      <c r="R2" s="4" t="s">
        <v>81</v>
      </c>
      <c r="S2" s="4" t="s">
        <v>82</v>
      </c>
      <c r="T2" s="4" t="s">
        <v>83</v>
      </c>
      <c r="U2" s="4" t="s">
        <v>84</v>
      </c>
      <c r="V2" s="4" t="s">
        <v>85</v>
      </c>
      <c r="W2" s="4" t="s">
        <v>86</v>
      </c>
      <c r="X2" s="4" t="s">
        <v>87</v>
      </c>
    </row>
    <row r="3" spans="1:24" x14ac:dyDescent="0.3">
      <c r="A3" s="4" t="s">
        <v>28</v>
      </c>
      <c r="B3" s="4" t="s">
        <v>29</v>
      </c>
      <c r="C3" s="4" t="s">
        <v>14</v>
      </c>
      <c r="D3" s="4" t="s">
        <v>88</v>
      </c>
      <c r="E3" s="4" t="s">
        <v>89</v>
      </c>
      <c r="F3" s="4" t="s">
        <v>90</v>
      </c>
      <c r="G3" s="4">
        <v>44</v>
      </c>
      <c r="H3" s="4">
        <f t="shared" ref="H3:U3" si="0">SUMIFS($J$23:$J$25,$G$23:$G$25,$F3,$H$23:$H$25,H$2)</f>
        <v>3</v>
      </c>
      <c r="I3" s="4">
        <f t="shared" si="0"/>
        <v>2</v>
      </c>
      <c r="J3" s="4">
        <f t="shared" si="0"/>
        <v>1</v>
      </c>
      <c r="K3" s="4">
        <f t="shared" si="0"/>
        <v>0</v>
      </c>
      <c r="L3" s="4">
        <f t="shared" si="0"/>
        <v>0</v>
      </c>
      <c r="M3" s="4">
        <f t="shared" si="0"/>
        <v>0</v>
      </c>
      <c r="N3" s="4">
        <f t="shared" si="0"/>
        <v>0</v>
      </c>
      <c r="O3" s="4">
        <f t="shared" si="0"/>
        <v>0</v>
      </c>
      <c r="P3" s="4">
        <f t="shared" si="0"/>
        <v>0</v>
      </c>
      <c r="Q3" s="4">
        <f t="shared" si="0"/>
        <v>0</v>
      </c>
      <c r="R3" s="4">
        <f t="shared" si="0"/>
        <v>0</v>
      </c>
      <c r="S3" s="4">
        <f t="shared" si="0"/>
        <v>0</v>
      </c>
      <c r="T3" s="4">
        <f t="shared" si="0"/>
        <v>0</v>
      </c>
      <c r="U3" s="4">
        <f t="shared" si="0"/>
        <v>0</v>
      </c>
      <c r="V3" s="4"/>
      <c r="W3" s="4"/>
      <c r="X3" s="4"/>
    </row>
    <row r="4" spans="1:24" x14ac:dyDescent="0.3">
      <c r="A4" s="4" t="s">
        <v>28</v>
      </c>
      <c r="B4" s="4" t="s">
        <v>29</v>
      </c>
      <c r="C4" s="4" t="s">
        <v>14</v>
      </c>
      <c r="D4" s="4" t="s">
        <v>88</v>
      </c>
      <c r="E4" s="4" t="s">
        <v>91</v>
      </c>
      <c r="F4" s="4" t="s">
        <v>92</v>
      </c>
      <c r="G4" s="4">
        <v>22</v>
      </c>
      <c r="H4" s="4">
        <f>SUMIFS(I24:I26,G24:G26,F4,H24:H26,H3)</f>
        <v>0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</row>
    <row r="5" spans="1:24" x14ac:dyDescent="0.3">
      <c r="A5" s="4" t="s">
        <v>28</v>
      </c>
      <c r="B5" s="4" t="s">
        <v>29</v>
      </c>
      <c r="C5" s="4" t="s">
        <v>14</v>
      </c>
      <c r="D5" s="4" t="s">
        <v>17</v>
      </c>
      <c r="E5" s="4" t="s">
        <v>61</v>
      </c>
      <c r="F5" s="4" t="s">
        <v>93</v>
      </c>
      <c r="G5" s="4">
        <v>44</v>
      </c>
      <c r="H5" s="4">
        <f>SUMIFS(I25:I27,G25:G27,F5,H25:H27,H4)</f>
        <v>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</row>
    <row r="18" spans="1:21" x14ac:dyDescent="0.3">
      <c r="S18" t="s">
        <v>94</v>
      </c>
    </row>
    <row r="19" spans="1:21" x14ac:dyDescent="0.3">
      <c r="S19" s="4" t="s">
        <v>90</v>
      </c>
      <c r="T19" s="4" t="s">
        <v>71</v>
      </c>
      <c r="U19" s="4">
        <v>400</v>
      </c>
    </row>
    <row r="20" spans="1:21" x14ac:dyDescent="0.3">
      <c r="A20" t="s">
        <v>95</v>
      </c>
      <c r="S20" s="4"/>
      <c r="T20" s="4"/>
      <c r="U20" s="4"/>
    </row>
    <row r="21" spans="1:21" x14ac:dyDescent="0.3">
      <c r="L21" s="4" t="str">
        <f>WEEKNUM(L22)&amp;"주차"</f>
        <v>49주차</v>
      </c>
      <c r="M21" s="4" t="s">
        <v>96</v>
      </c>
      <c r="N21" s="4" t="s">
        <v>97</v>
      </c>
      <c r="O21" s="4" t="s">
        <v>98</v>
      </c>
      <c r="P21" s="4" t="s">
        <v>99</v>
      </c>
      <c r="S21" s="4"/>
      <c r="T21" s="4"/>
      <c r="U21" s="4"/>
    </row>
    <row r="22" spans="1:21" x14ac:dyDescent="0.3">
      <c r="A22" s="4" t="s">
        <v>100</v>
      </c>
      <c r="B22" s="4" t="s">
        <v>0</v>
      </c>
      <c r="C22" s="4" t="s">
        <v>1</v>
      </c>
      <c r="D22" s="4" t="s">
        <v>2</v>
      </c>
      <c r="E22" s="4" t="s">
        <v>3</v>
      </c>
      <c r="F22" s="4" t="s">
        <v>4</v>
      </c>
      <c r="G22" s="4" t="s">
        <v>69</v>
      </c>
      <c r="H22" s="4" t="s">
        <v>101</v>
      </c>
      <c r="I22" s="4" t="s">
        <v>94</v>
      </c>
      <c r="J22" s="4" t="s">
        <v>102</v>
      </c>
      <c r="L22" s="5">
        <v>45267</v>
      </c>
      <c r="M22" s="4">
        <f>SUMIF(A23:A30,L22,I23:I30)</f>
        <v>1500</v>
      </c>
      <c r="N22" s="4">
        <v>4</v>
      </c>
      <c r="O22" s="4">
        <f>N22*480</f>
        <v>1920</v>
      </c>
      <c r="P22" s="4">
        <f>O22-M22</f>
        <v>420</v>
      </c>
      <c r="S22" s="4"/>
      <c r="T22" s="4"/>
      <c r="U22" s="4"/>
    </row>
    <row r="23" spans="1:21" x14ac:dyDescent="0.3">
      <c r="A23" s="5">
        <v>45267</v>
      </c>
      <c r="B23" s="4" t="s">
        <v>28</v>
      </c>
      <c r="C23" s="4" t="s">
        <v>29</v>
      </c>
      <c r="D23" s="4" t="s">
        <v>14</v>
      </c>
      <c r="E23" s="4" t="s">
        <v>88</v>
      </c>
      <c r="F23" s="4" t="s">
        <v>89</v>
      </c>
      <c r="G23" s="4" t="s">
        <v>90</v>
      </c>
      <c r="H23" s="4" t="s">
        <v>71</v>
      </c>
      <c r="I23" s="4">
        <v>400</v>
      </c>
      <c r="J23" s="4">
        <v>3</v>
      </c>
      <c r="L23" s="5">
        <v>45268</v>
      </c>
      <c r="M23" s="4"/>
      <c r="N23" s="4"/>
      <c r="O23" s="4"/>
      <c r="P23" s="4"/>
      <c r="S23" s="4"/>
      <c r="T23" s="4"/>
      <c r="U23" s="4"/>
    </row>
    <row r="24" spans="1:21" x14ac:dyDescent="0.3">
      <c r="A24" s="5">
        <v>45267</v>
      </c>
      <c r="B24" s="4" t="s">
        <v>28</v>
      </c>
      <c r="C24" s="4" t="s">
        <v>29</v>
      </c>
      <c r="D24" s="4" t="s">
        <v>14</v>
      </c>
      <c r="E24" s="4" t="s">
        <v>88</v>
      </c>
      <c r="F24" s="4" t="s">
        <v>89</v>
      </c>
      <c r="G24" s="4" t="s">
        <v>90</v>
      </c>
      <c r="H24" s="4" t="s">
        <v>72</v>
      </c>
      <c r="I24" s="4">
        <v>800</v>
      </c>
      <c r="J24" s="4">
        <v>2</v>
      </c>
      <c r="L24" s="5">
        <v>45269</v>
      </c>
      <c r="M24" s="4"/>
      <c r="N24" s="4"/>
      <c r="O24" s="4"/>
      <c r="P24" s="4"/>
      <c r="S24" s="4"/>
      <c r="T24" s="4"/>
      <c r="U24" s="4"/>
    </row>
    <row r="25" spans="1:21" x14ac:dyDescent="0.3">
      <c r="A25" s="5">
        <v>45267</v>
      </c>
      <c r="B25" s="4" t="s">
        <v>28</v>
      </c>
      <c r="C25" s="4" t="s">
        <v>29</v>
      </c>
      <c r="D25" s="4" t="s">
        <v>14</v>
      </c>
      <c r="E25" s="4" t="s">
        <v>88</v>
      </c>
      <c r="F25" s="4" t="s">
        <v>89</v>
      </c>
      <c r="G25" s="4" t="s">
        <v>90</v>
      </c>
      <c r="H25" s="4" t="s">
        <v>73</v>
      </c>
      <c r="I25" s="4">
        <v>300</v>
      </c>
      <c r="J25" s="4">
        <v>1</v>
      </c>
      <c r="L25" s="5">
        <v>45270</v>
      </c>
      <c r="M25" s="4"/>
      <c r="N25" s="4"/>
      <c r="O25" s="4"/>
      <c r="P25" s="4"/>
    </row>
    <row r="26" spans="1:21" x14ac:dyDescent="0.3">
      <c r="L26" s="5">
        <v>45271</v>
      </c>
      <c r="M26" s="4"/>
      <c r="N26" s="4"/>
      <c r="O26" s="4"/>
      <c r="P26" s="4"/>
    </row>
    <row r="27" spans="1:21" x14ac:dyDescent="0.3">
      <c r="L27" s="5">
        <v>45272</v>
      </c>
      <c r="M27" s="4"/>
      <c r="N27" s="4"/>
      <c r="O27" s="4"/>
      <c r="P27" s="4"/>
    </row>
    <row r="28" spans="1:21" x14ac:dyDescent="0.3">
      <c r="L28" s="5">
        <v>45273</v>
      </c>
      <c r="M28" s="4"/>
      <c r="N28" s="4"/>
      <c r="O28" s="4"/>
      <c r="P28" s="4"/>
    </row>
  </sheetData>
  <phoneticPr fontId="1" type="noConversion"/>
  <conditionalFormatting sqref="H3:X5">
    <cfRule type="expression" dxfId="0" priority="1">
      <formula>H3&gt;0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CE2A7-FF61-410E-ABD0-7B5E38E00FCF}">
  <sheetPr codeName="Sheet1"/>
  <dimension ref="A1:JG77"/>
  <sheetViews>
    <sheetView tabSelected="1" topLeftCell="A46" workbookViewId="0">
      <selection activeCell="F2" sqref="F2:I77"/>
    </sheetView>
  </sheetViews>
  <sheetFormatPr defaultRowHeight="16.5" x14ac:dyDescent="0.3"/>
  <cols>
    <col min="11" max="168" width="11.25" bestFit="1" customWidth="1"/>
    <col min="169" max="173" width="11.375" bestFit="1" customWidth="1"/>
    <col min="174" max="182" width="11.125" bestFit="1" customWidth="1"/>
  </cols>
  <sheetData>
    <row r="1" spans="1:267" s="1" customForma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60</v>
      </c>
      <c r="K1" s="1">
        <v>45291</v>
      </c>
      <c r="L1" s="1">
        <v>45292</v>
      </c>
      <c r="M1" s="1">
        <v>45293</v>
      </c>
      <c r="N1" s="1">
        <v>45294</v>
      </c>
      <c r="O1" s="1">
        <v>45295</v>
      </c>
      <c r="P1" s="1">
        <v>45296</v>
      </c>
      <c r="Q1" s="1">
        <v>45297</v>
      </c>
      <c r="R1" s="1">
        <v>45298</v>
      </c>
      <c r="S1" s="1">
        <v>45299</v>
      </c>
      <c r="T1" s="1">
        <v>45300</v>
      </c>
      <c r="U1" s="1">
        <v>45301</v>
      </c>
      <c r="V1" s="1">
        <v>45302</v>
      </c>
      <c r="W1" s="1">
        <v>45303</v>
      </c>
      <c r="X1" s="1">
        <v>45304</v>
      </c>
      <c r="Y1" s="1">
        <v>45305</v>
      </c>
      <c r="Z1" s="1">
        <v>45306</v>
      </c>
      <c r="AA1" s="1">
        <v>45307</v>
      </c>
      <c r="AB1" s="1">
        <v>45308</v>
      </c>
      <c r="AC1" s="1">
        <v>45309</v>
      </c>
      <c r="AD1" s="1">
        <v>45310</v>
      </c>
      <c r="AE1" s="1">
        <v>45311</v>
      </c>
      <c r="AF1" s="1">
        <v>45312</v>
      </c>
      <c r="AG1" s="1">
        <v>45313</v>
      </c>
      <c r="AH1" s="1">
        <v>45314</v>
      </c>
      <c r="AI1" s="1">
        <v>45315</v>
      </c>
      <c r="AJ1" s="1">
        <v>45316</v>
      </c>
      <c r="AK1" s="1">
        <v>45317</v>
      </c>
      <c r="AL1" s="1">
        <v>45318</v>
      </c>
      <c r="AM1" s="1">
        <v>45319</v>
      </c>
      <c r="AN1" s="1">
        <v>45320</v>
      </c>
      <c r="AO1" s="1">
        <v>45321</v>
      </c>
      <c r="AP1" s="1">
        <v>45322</v>
      </c>
      <c r="AQ1" s="1">
        <v>45323</v>
      </c>
      <c r="AR1" s="1">
        <v>45324</v>
      </c>
      <c r="AS1" s="1">
        <v>45325</v>
      </c>
      <c r="AT1" s="1">
        <v>45326</v>
      </c>
      <c r="AU1" s="1">
        <v>45327</v>
      </c>
      <c r="AV1" s="1">
        <v>45328</v>
      </c>
      <c r="AW1" s="1">
        <v>45329</v>
      </c>
      <c r="AX1" s="1">
        <v>45330</v>
      </c>
      <c r="AY1" s="1">
        <v>45331</v>
      </c>
      <c r="AZ1" s="1">
        <v>45332</v>
      </c>
      <c r="BA1" s="1">
        <v>45333</v>
      </c>
      <c r="BB1" s="1">
        <v>45334</v>
      </c>
      <c r="BC1" s="1">
        <v>45335</v>
      </c>
      <c r="BD1" s="1">
        <v>45336</v>
      </c>
      <c r="BE1" s="1">
        <v>45337</v>
      </c>
      <c r="BF1" s="1">
        <v>45338</v>
      </c>
      <c r="BG1" s="1">
        <v>45339</v>
      </c>
      <c r="BH1" s="1">
        <v>45340</v>
      </c>
      <c r="BI1" s="1">
        <v>45341</v>
      </c>
      <c r="BJ1" s="1">
        <v>45342</v>
      </c>
      <c r="BK1" s="1">
        <v>45343</v>
      </c>
      <c r="BL1" s="1">
        <v>45344</v>
      </c>
      <c r="BM1" s="1">
        <v>45345</v>
      </c>
      <c r="BN1" s="1">
        <v>45346</v>
      </c>
      <c r="BO1" s="1">
        <v>45347</v>
      </c>
      <c r="BP1" s="1">
        <v>45348</v>
      </c>
      <c r="BQ1" s="1">
        <v>45349</v>
      </c>
      <c r="BR1" s="1">
        <v>45350</v>
      </c>
      <c r="BS1" s="1">
        <v>45351</v>
      </c>
      <c r="BT1" s="1">
        <v>45352</v>
      </c>
      <c r="BU1" s="1">
        <v>45353</v>
      </c>
      <c r="BV1" s="1">
        <v>45354</v>
      </c>
      <c r="BW1" s="1">
        <v>45355</v>
      </c>
      <c r="BX1" s="1">
        <v>45356</v>
      </c>
      <c r="BY1" s="1">
        <v>45357</v>
      </c>
      <c r="BZ1" s="1">
        <v>45358</v>
      </c>
      <c r="CA1" s="1">
        <v>45359</v>
      </c>
      <c r="CB1" s="1">
        <v>45360</v>
      </c>
      <c r="CC1" s="1">
        <v>45361</v>
      </c>
      <c r="CD1" s="1">
        <v>45362</v>
      </c>
      <c r="CE1" s="1">
        <v>45363</v>
      </c>
      <c r="CF1" s="1">
        <v>45364</v>
      </c>
      <c r="CG1" s="1">
        <v>45365</v>
      </c>
      <c r="CH1" s="1">
        <v>45366</v>
      </c>
      <c r="CI1" s="1">
        <v>45367</v>
      </c>
      <c r="CJ1" s="1">
        <v>45368</v>
      </c>
      <c r="CK1" s="1">
        <v>45369</v>
      </c>
      <c r="CL1" s="1">
        <v>45370</v>
      </c>
      <c r="CM1" s="1">
        <v>45371</v>
      </c>
      <c r="CN1" s="1">
        <v>45372</v>
      </c>
      <c r="CO1" s="1">
        <v>45373</v>
      </c>
      <c r="CP1" s="1">
        <v>45374</v>
      </c>
      <c r="CQ1" s="1">
        <v>45375</v>
      </c>
      <c r="CR1" s="1">
        <v>45376</v>
      </c>
      <c r="CS1" s="1">
        <v>45377</v>
      </c>
      <c r="CT1" s="1">
        <v>45378</v>
      </c>
      <c r="CU1" s="1">
        <v>45379</v>
      </c>
      <c r="CV1" s="1">
        <v>45380</v>
      </c>
      <c r="CW1" s="1">
        <v>45381</v>
      </c>
      <c r="CX1" s="1">
        <v>45382</v>
      </c>
      <c r="CY1" s="1">
        <v>45383</v>
      </c>
      <c r="CZ1" s="1">
        <v>45384</v>
      </c>
      <c r="DA1" s="1">
        <v>45385</v>
      </c>
      <c r="DB1" s="1">
        <v>45386</v>
      </c>
      <c r="DC1" s="1">
        <v>45387</v>
      </c>
      <c r="DD1" s="1">
        <v>45388</v>
      </c>
      <c r="DE1" s="1">
        <v>45389</v>
      </c>
      <c r="DF1" s="1">
        <v>45390</v>
      </c>
      <c r="DG1" s="1">
        <v>45391</v>
      </c>
      <c r="DH1" s="1">
        <v>45392</v>
      </c>
      <c r="DI1" s="1">
        <v>45393</v>
      </c>
      <c r="DJ1" s="1">
        <v>45394</v>
      </c>
      <c r="DK1" s="1">
        <v>45395</v>
      </c>
      <c r="DL1" s="1">
        <v>45396</v>
      </c>
      <c r="DM1" s="1">
        <v>45397</v>
      </c>
      <c r="DN1" s="1">
        <v>45398</v>
      </c>
      <c r="DO1" s="1">
        <v>45399</v>
      </c>
      <c r="DP1" s="1">
        <v>45400</v>
      </c>
      <c r="DQ1" s="1">
        <v>45401</v>
      </c>
      <c r="DR1" s="1">
        <v>45402</v>
      </c>
      <c r="DS1" s="1">
        <v>45403</v>
      </c>
      <c r="DT1" s="1">
        <v>45404</v>
      </c>
      <c r="DU1" s="1">
        <v>45405</v>
      </c>
      <c r="DV1" s="1">
        <v>45406</v>
      </c>
      <c r="DW1" s="1">
        <v>45407</v>
      </c>
      <c r="DX1" s="1">
        <v>45408</v>
      </c>
      <c r="DY1" s="1">
        <v>45409</v>
      </c>
      <c r="DZ1" s="1">
        <v>45410</v>
      </c>
      <c r="EA1" s="1">
        <v>45411</v>
      </c>
      <c r="EB1" s="1">
        <v>45412</v>
      </c>
      <c r="EC1" s="1">
        <v>45413</v>
      </c>
      <c r="ED1" s="1">
        <v>45414</v>
      </c>
      <c r="EE1" s="1">
        <v>45415</v>
      </c>
      <c r="EF1" s="1">
        <v>45416</v>
      </c>
      <c r="EG1" s="1">
        <v>45417</v>
      </c>
      <c r="EH1" s="1">
        <v>45418</v>
      </c>
      <c r="EI1" s="1">
        <v>45419</v>
      </c>
      <c r="EJ1" s="1">
        <v>45420</v>
      </c>
      <c r="EK1" s="1">
        <v>45421</v>
      </c>
      <c r="EL1" s="1">
        <v>45422</v>
      </c>
      <c r="EM1" s="1">
        <v>45423</v>
      </c>
      <c r="EN1" s="1">
        <v>45424</v>
      </c>
      <c r="EO1" s="1">
        <v>45425</v>
      </c>
      <c r="EP1" s="1">
        <v>45426</v>
      </c>
      <c r="EQ1" s="1">
        <v>45427</v>
      </c>
      <c r="ER1" s="1">
        <v>45428</v>
      </c>
      <c r="ES1" s="1">
        <v>45429</v>
      </c>
      <c r="ET1" s="1">
        <v>45430</v>
      </c>
      <c r="EU1" s="1">
        <v>45431</v>
      </c>
      <c r="EV1" s="1">
        <v>45432</v>
      </c>
      <c r="EW1" s="1">
        <v>45433</v>
      </c>
      <c r="EX1" s="1">
        <v>45434</v>
      </c>
      <c r="EY1" s="1">
        <v>45435</v>
      </c>
      <c r="EZ1" s="1">
        <v>45436</v>
      </c>
      <c r="FA1" s="1">
        <v>45437</v>
      </c>
      <c r="FB1" s="1">
        <v>45438</v>
      </c>
      <c r="FC1" s="1">
        <v>45439</v>
      </c>
      <c r="FD1" s="1">
        <v>45440</v>
      </c>
      <c r="FE1" s="1">
        <v>45441</v>
      </c>
      <c r="FF1" s="1">
        <v>45442</v>
      </c>
      <c r="FG1" s="1">
        <v>45443</v>
      </c>
      <c r="FH1" s="1">
        <v>45444</v>
      </c>
      <c r="FI1" s="1">
        <v>45445</v>
      </c>
      <c r="FJ1" s="1">
        <v>45446</v>
      </c>
      <c r="FK1" s="1">
        <v>45447</v>
      </c>
      <c r="FL1" s="1">
        <v>45448</v>
      </c>
      <c r="FM1" s="1">
        <v>45449</v>
      </c>
      <c r="FN1" s="1">
        <v>45450</v>
      </c>
      <c r="FO1" s="1">
        <v>45451</v>
      </c>
      <c r="FP1" s="1">
        <v>45452</v>
      </c>
      <c r="FQ1" s="1">
        <v>45453</v>
      </c>
      <c r="FR1" s="1">
        <v>45454</v>
      </c>
      <c r="FS1" s="1">
        <v>45455</v>
      </c>
      <c r="FT1" s="1">
        <v>45456</v>
      </c>
      <c r="FU1" s="1">
        <v>45457</v>
      </c>
      <c r="FV1" s="1">
        <v>45458</v>
      </c>
      <c r="FW1" s="1">
        <v>45459</v>
      </c>
      <c r="FX1" s="1">
        <v>45460</v>
      </c>
      <c r="FY1" s="1">
        <v>45461</v>
      </c>
      <c r="FZ1" s="1">
        <v>45462</v>
      </c>
      <c r="GA1" s="1">
        <v>45463</v>
      </c>
      <c r="GB1" s="1">
        <v>45464</v>
      </c>
      <c r="GC1" s="1">
        <v>45465</v>
      </c>
      <c r="GD1" s="1">
        <v>45466</v>
      </c>
      <c r="GE1" s="1">
        <v>45467</v>
      </c>
      <c r="GF1" s="1">
        <v>45468</v>
      </c>
      <c r="GG1" s="1">
        <v>45469</v>
      </c>
      <c r="GH1" s="1">
        <v>45470</v>
      </c>
      <c r="GI1" s="1">
        <v>45471</v>
      </c>
      <c r="GJ1" s="1">
        <v>45472</v>
      </c>
      <c r="GK1" s="1">
        <v>45473</v>
      </c>
      <c r="GL1" s="1">
        <v>45474</v>
      </c>
      <c r="GM1" s="1">
        <v>45475</v>
      </c>
      <c r="GN1" s="1">
        <v>45476</v>
      </c>
      <c r="GO1" s="1">
        <v>45477</v>
      </c>
      <c r="GP1" s="1">
        <v>45478</v>
      </c>
      <c r="GQ1" s="1">
        <v>45479</v>
      </c>
      <c r="GR1" s="1">
        <v>45480</v>
      </c>
      <c r="GS1" s="1">
        <v>45481</v>
      </c>
      <c r="GT1" s="1">
        <v>45482</v>
      </c>
      <c r="GU1" s="1">
        <v>45483</v>
      </c>
      <c r="GV1" s="1">
        <v>45484</v>
      </c>
      <c r="GW1" s="1">
        <v>45485</v>
      </c>
      <c r="GX1" s="1">
        <v>45486</v>
      </c>
      <c r="GY1" s="1">
        <v>45487</v>
      </c>
      <c r="GZ1" s="1">
        <v>45488</v>
      </c>
      <c r="HA1" s="1">
        <v>45489</v>
      </c>
      <c r="HB1" s="1">
        <v>45490</v>
      </c>
      <c r="HC1" s="1">
        <v>45491</v>
      </c>
      <c r="HD1" s="1">
        <v>45492</v>
      </c>
      <c r="HE1" s="1">
        <v>45493</v>
      </c>
      <c r="HF1" s="1">
        <v>45494</v>
      </c>
      <c r="HG1" s="1">
        <v>45495</v>
      </c>
      <c r="HH1" s="1">
        <v>45496</v>
      </c>
      <c r="HI1" s="1">
        <v>45497</v>
      </c>
      <c r="HJ1" s="1">
        <v>45498</v>
      </c>
      <c r="HK1" s="1">
        <v>45499</v>
      </c>
      <c r="HL1" s="1">
        <v>45500</v>
      </c>
      <c r="HM1" s="1">
        <v>45501</v>
      </c>
      <c r="HN1" s="1">
        <v>45502</v>
      </c>
      <c r="HO1" s="1">
        <v>45503</v>
      </c>
      <c r="HP1" s="1">
        <v>45504</v>
      </c>
      <c r="HQ1" s="1">
        <v>45505</v>
      </c>
      <c r="HR1" s="1">
        <v>45506</v>
      </c>
      <c r="HS1" s="1">
        <v>45507</v>
      </c>
      <c r="HT1" s="1">
        <v>45508</v>
      </c>
      <c r="HU1" s="1">
        <v>45509</v>
      </c>
      <c r="HV1" s="1">
        <v>45510</v>
      </c>
      <c r="HW1" s="1">
        <v>45511</v>
      </c>
      <c r="HX1" s="1">
        <v>45512</v>
      </c>
      <c r="HY1" s="1">
        <v>45513</v>
      </c>
      <c r="HZ1" s="1">
        <v>45514</v>
      </c>
      <c r="IA1" s="1">
        <v>45515</v>
      </c>
      <c r="IB1" s="1">
        <v>45516</v>
      </c>
      <c r="IC1" s="1">
        <v>45517</v>
      </c>
      <c r="ID1" s="1">
        <v>45518</v>
      </c>
      <c r="IE1" s="1">
        <v>45519</v>
      </c>
      <c r="IF1" s="1">
        <v>45520</v>
      </c>
      <c r="IG1" s="1">
        <v>45521</v>
      </c>
      <c r="IH1" s="1">
        <v>45522</v>
      </c>
      <c r="II1" s="1">
        <v>45523</v>
      </c>
      <c r="IJ1" s="1">
        <v>45524</v>
      </c>
      <c r="IK1" s="1">
        <v>45525</v>
      </c>
      <c r="IL1" s="1">
        <v>45526</v>
      </c>
      <c r="IM1" s="1">
        <v>45527</v>
      </c>
      <c r="IN1" s="1">
        <v>45528</v>
      </c>
      <c r="IO1" s="1">
        <v>45529</v>
      </c>
      <c r="IP1" s="1">
        <v>45530</v>
      </c>
      <c r="IQ1" s="1">
        <v>45531</v>
      </c>
      <c r="IR1" s="1">
        <v>45532</v>
      </c>
      <c r="IS1" s="1">
        <v>45533</v>
      </c>
      <c r="IT1" s="1">
        <v>45534</v>
      </c>
      <c r="IU1" s="1">
        <v>45535</v>
      </c>
      <c r="IV1" s="1">
        <v>45536</v>
      </c>
      <c r="IW1" s="1">
        <v>45537</v>
      </c>
      <c r="IX1" s="1">
        <v>45538</v>
      </c>
      <c r="IY1" s="1">
        <v>45539</v>
      </c>
      <c r="IZ1" s="1">
        <v>45540</v>
      </c>
      <c r="JA1" s="1">
        <v>45541</v>
      </c>
      <c r="JB1" s="1">
        <v>45542</v>
      </c>
      <c r="JC1" s="1">
        <v>45543</v>
      </c>
      <c r="JD1" s="1">
        <v>45544</v>
      </c>
      <c r="JE1" s="1">
        <v>45545</v>
      </c>
      <c r="JF1" s="1">
        <v>45546</v>
      </c>
      <c r="JG1" s="1">
        <v>45547</v>
      </c>
    </row>
    <row r="2" spans="1:267" x14ac:dyDescent="0.3">
      <c r="A2" t="s">
        <v>10</v>
      </c>
      <c r="B2" t="s">
        <v>172</v>
      </c>
      <c r="C2" t="s">
        <v>439</v>
      </c>
      <c r="D2" t="s">
        <v>440</v>
      </c>
      <c r="E2" t="s">
        <v>441</v>
      </c>
      <c r="F2" t="s">
        <v>173</v>
      </c>
      <c r="G2" t="s">
        <v>174</v>
      </c>
      <c r="I2">
        <v>30</v>
      </c>
      <c r="IM2">
        <v>5</v>
      </c>
      <c r="IP2">
        <v>5</v>
      </c>
      <c r="IR2">
        <v>5</v>
      </c>
      <c r="IT2">
        <v>5</v>
      </c>
      <c r="IW2">
        <v>5</v>
      </c>
      <c r="IY2">
        <v>5</v>
      </c>
    </row>
    <row r="3" spans="1:267" x14ac:dyDescent="0.3">
      <c r="A3" t="s">
        <v>10</v>
      </c>
      <c r="B3" t="s">
        <v>172</v>
      </c>
      <c r="C3" t="s">
        <v>439</v>
      </c>
      <c r="D3" t="s">
        <v>440</v>
      </c>
      <c r="E3" t="s">
        <v>442</v>
      </c>
      <c r="F3" t="s">
        <v>175</v>
      </c>
      <c r="G3" t="s">
        <v>176</v>
      </c>
      <c r="I3">
        <v>12</v>
      </c>
      <c r="IM3">
        <v>2</v>
      </c>
      <c r="IP3">
        <v>2</v>
      </c>
      <c r="IR3">
        <v>2</v>
      </c>
      <c r="IT3">
        <v>2</v>
      </c>
      <c r="IW3">
        <v>2</v>
      </c>
      <c r="IY3">
        <v>2</v>
      </c>
    </row>
    <row r="4" spans="1:267" x14ac:dyDescent="0.3">
      <c r="A4" t="s">
        <v>10</v>
      </c>
      <c r="B4" t="s">
        <v>172</v>
      </c>
      <c r="C4" t="s">
        <v>439</v>
      </c>
      <c r="D4" t="s">
        <v>443</v>
      </c>
      <c r="E4" t="s">
        <v>444</v>
      </c>
      <c r="F4" t="s">
        <v>173</v>
      </c>
      <c r="G4" t="s">
        <v>174</v>
      </c>
      <c r="I4">
        <v>10</v>
      </c>
      <c r="JA4">
        <v>5</v>
      </c>
      <c r="JD4">
        <v>5</v>
      </c>
    </row>
    <row r="5" spans="1:267" x14ac:dyDescent="0.3">
      <c r="A5" t="s">
        <v>10</v>
      </c>
      <c r="B5" t="s">
        <v>172</v>
      </c>
      <c r="C5" t="s">
        <v>439</v>
      </c>
      <c r="D5" t="s">
        <v>443</v>
      </c>
      <c r="E5" t="s">
        <v>445</v>
      </c>
      <c r="F5" t="s">
        <v>175</v>
      </c>
      <c r="G5" t="s">
        <v>176</v>
      </c>
      <c r="I5">
        <v>4</v>
      </c>
      <c r="JA5">
        <v>2</v>
      </c>
      <c r="JD5">
        <v>2</v>
      </c>
    </row>
    <row r="6" spans="1:267" x14ac:dyDescent="0.3">
      <c r="A6" t="s">
        <v>10</v>
      </c>
      <c r="B6" t="s">
        <v>11</v>
      </c>
      <c r="C6" t="s">
        <v>14</v>
      </c>
      <c r="D6" t="s">
        <v>17</v>
      </c>
      <c r="E6" t="s">
        <v>18</v>
      </c>
      <c r="F6" t="s">
        <v>12</v>
      </c>
      <c r="G6" t="s">
        <v>13</v>
      </c>
      <c r="H6" t="s">
        <v>15</v>
      </c>
      <c r="I6">
        <v>360</v>
      </c>
      <c r="J6" t="s">
        <v>9</v>
      </c>
    </row>
    <row r="7" spans="1:267" x14ac:dyDescent="0.3">
      <c r="A7" t="s">
        <v>10</v>
      </c>
      <c r="B7" t="s">
        <v>11</v>
      </c>
      <c r="C7" t="s">
        <v>14</v>
      </c>
      <c r="D7" t="s">
        <v>17</v>
      </c>
      <c r="E7" t="s">
        <v>19</v>
      </c>
      <c r="F7" t="s">
        <v>12</v>
      </c>
      <c r="G7" t="s">
        <v>13</v>
      </c>
      <c r="H7" t="s">
        <v>15</v>
      </c>
      <c r="I7">
        <v>360</v>
      </c>
      <c r="J7" t="s">
        <v>9</v>
      </c>
    </row>
    <row r="8" spans="1:267" x14ac:dyDescent="0.3">
      <c r="A8" t="s">
        <v>10</v>
      </c>
      <c r="B8" t="s">
        <v>11</v>
      </c>
      <c r="C8" t="s">
        <v>14</v>
      </c>
      <c r="D8" t="s">
        <v>17</v>
      </c>
      <c r="E8" t="s">
        <v>20</v>
      </c>
      <c r="F8" t="s">
        <v>12</v>
      </c>
      <c r="G8" t="s">
        <v>13</v>
      </c>
      <c r="H8" t="s">
        <v>15</v>
      </c>
      <c r="I8">
        <v>360</v>
      </c>
      <c r="J8" t="s">
        <v>9</v>
      </c>
      <c r="M8">
        <v>42</v>
      </c>
      <c r="N8">
        <v>36</v>
      </c>
    </row>
    <row r="9" spans="1:267" x14ac:dyDescent="0.3">
      <c r="A9" t="s">
        <v>10</v>
      </c>
      <c r="B9" t="s">
        <v>11</v>
      </c>
      <c r="C9" t="s">
        <v>14</v>
      </c>
      <c r="D9" t="s">
        <v>17</v>
      </c>
      <c r="E9" t="s">
        <v>40</v>
      </c>
      <c r="F9" t="s">
        <v>12</v>
      </c>
      <c r="G9" t="s">
        <v>13</v>
      </c>
      <c r="H9" t="s">
        <v>15</v>
      </c>
      <c r="I9">
        <v>360</v>
      </c>
      <c r="J9" t="s">
        <v>9</v>
      </c>
      <c r="N9">
        <v>6</v>
      </c>
      <c r="O9">
        <v>42</v>
      </c>
      <c r="P9">
        <v>42</v>
      </c>
      <c r="S9">
        <v>42</v>
      </c>
      <c r="T9">
        <v>42</v>
      </c>
      <c r="U9">
        <v>42</v>
      </c>
      <c r="V9">
        <v>42</v>
      </c>
      <c r="W9">
        <v>42</v>
      </c>
      <c r="Z9">
        <v>42</v>
      </c>
      <c r="AA9">
        <v>18</v>
      </c>
    </row>
    <row r="10" spans="1:267" x14ac:dyDescent="0.3">
      <c r="A10" t="s">
        <v>10</v>
      </c>
      <c r="B10" t="s">
        <v>11</v>
      </c>
      <c r="C10" t="s">
        <v>14</v>
      </c>
      <c r="D10" t="s">
        <v>17</v>
      </c>
      <c r="E10" t="s">
        <v>41</v>
      </c>
      <c r="F10" t="s">
        <v>12</v>
      </c>
      <c r="G10" t="s">
        <v>13</v>
      </c>
      <c r="H10" t="s">
        <v>15</v>
      </c>
      <c r="I10">
        <v>360</v>
      </c>
      <c r="J10" t="s">
        <v>9</v>
      </c>
      <c r="AA10">
        <v>24</v>
      </c>
      <c r="AB10">
        <v>42</v>
      </c>
      <c r="AC10">
        <v>42</v>
      </c>
      <c r="AD10">
        <v>42</v>
      </c>
      <c r="AG10">
        <v>42</v>
      </c>
      <c r="AH10">
        <v>42</v>
      </c>
      <c r="AI10">
        <v>42</v>
      </c>
      <c r="AJ10">
        <v>42</v>
      </c>
      <c r="AK10">
        <v>42</v>
      </c>
    </row>
    <row r="11" spans="1:267" x14ac:dyDescent="0.3">
      <c r="A11" t="s">
        <v>10</v>
      </c>
      <c r="B11" t="s">
        <v>11</v>
      </c>
      <c r="C11" t="s">
        <v>14</v>
      </c>
      <c r="D11" t="s">
        <v>17</v>
      </c>
      <c r="E11" t="s">
        <v>42</v>
      </c>
      <c r="F11" t="s">
        <v>12</v>
      </c>
      <c r="G11" t="s">
        <v>13</v>
      </c>
      <c r="H11" t="s">
        <v>15</v>
      </c>
      <c r="I11">
        <v>360</v>
      </c>
      <c r="J11" t="s">
        <v>9</v>
      </c>
      <c r="AN11">
        <v>42</v>
      </c>
      <c r="AO11">
        <v>42</v>
      </c>
      <c r="AP11">
        <v>42</v>
      </c>
      <c r="AR11">
        <v>24</v>
      </c>
      <c r="AU11">
        <v>42</v>
      </c>
      <c r="AV11">
        <v>42</v>
      </c>
      <c r="AW11">
        <v>42</v>
      </c>
      <c r="AX11">
        <v>42</v>
      </c>
      <c r="BD11">
        <v>42</v>
      </c>
    </row>
    <row r="12" spans="1:267" x14ac:dyDescent="0.3">
      <c r="A12" t="s">
        <v>10</v>
      </c>
      <c r="B12" t="s">
        <v>11</v>
      </c>
      <c r="C12" t="s">
        <v>14</v>
      </c>
      <c r="D12" t="s">
        <v>17</v>
      </c>
      <c r="E12" t="s">
        <v>43</v>
      </c>
      <c r="F12" t="s">
        <v>12</v>
      </c>
      <c r="G12" t="s">
        <v>13</v>
      </c>
      <c r="H12" t="s">
        <v>15</v>
      </c>
      <c r="I12">
        <v>360</v>
      </c>
      <c r="J12" t="s">
        <v>9</v>
      </c>
      <c r="BE12">
        <v>42</v>
      </c>
      <c r="BF12">
        <v>42</v>
      </c>
      <c r="BI12">
        <v>42</v>
      </c>
      <c r="BJ12">
        <v>36</v>
      </c>
      <c r="BM12">
        <v>42</v>
      </c>
      <c r="BP12">
        <v>42</v>
      </c>
      <c r="BQ12">
        <v>42</v>
      </c>
      <c r="BR12">
        <v>42</v>
      </c>
      <c r="BS12">
        <v>30</v>
      </c>
    </row>
    <row r="13" spans="1:267" x14ac:dyDescent="0.3">
      <c r="A13" t="s">
        <v>10</v>
      </c>
      <c r="B13" t="s">
        <v>11</v>
      </c>
      <c r="C13" t="s">
        <v>14</v>
      </c>
      <c r="D13" t="s">
        <v>17</v>
      </c>
      <c r="E13" t="s">
        <v>44</v>
      </c>
      <c r="F13" t="s">
        <v>12</v>
      </c>
      <c r="G13" t="s">
        <v>13</v>
      </c>
      <c r="H13" t="s">
        <v>15</v>
      </c>
      <c r="I13">
        <v>360</v>
      </c>
      <c r="J13" t="s">
        <v>9</v>
      </c>
      <c r="BS13">
        <v>12</v>
      </c>
      <c r="BX13">
        <v>42</v>
      </c>
      <c r="CD13">
        <v>6</v>
      </c>
      <c r="CE13">
        <v>42</v>
      </c>
      <c r="CF13">
        <v>42</v>
      </c>
      <c r="CG13">
        <v>42</v>
      </c>
      <c r="CH13">
        <v>42</v>
      </c>
      <c r="CK13">
        <v>42</v>
      </c>
      <c r="CL13">
        <v>6</v>
      </c>
      <c r="CM13">
        <v>42</v>
      </c>
      <c r="CN13">
        <v>42</v>
      </c>
    </row>
    <row r="14" spans="1:267" x14ac:dyDescent="0.3">
      <c r="A14" t="s">
        <v>10</v>
      </c>
      <c r="B14" t="s">
        <v>11</v>
      </c>
      <c r="C14" t="s">
        <v>14</v>
      </c>
      <c r="D14" t="s">
        <v>17</v>
      </c>
      <c r="E14" t="s">
        <v>45</v>
      </c>
      <c r="F14" t="s">
        <v>12</v>
      </c>
      <c r="G14" t="s">
        <v>13</v>
      </c>
      <c r="H14" t="s">
        <v>15</v>
      </c>
      <c r="I14">
        <v>420</v>
      </c>
      <c r="J14" t="s">
        <v>9</v>
      </c>
      <c r="CN14">
        <v>21</v>
      </c>
      <c r="CO14">
        <v>42</v>
      </c>
      <c r="CR14">
        <v>42</v>
      </c>
      <c r="CS14">
        <v>42</v>
      </c>
      <c r="CT14">
        <v>42</v>
      </c>
      <c r="CU14">
        <v>42</v>
      </c>
      <c r="CV14">
        <v>42</v>
      </c>
      <c r="DA14">
        <v>42</v>
      </c>
      <c r="DB14">
        <v>42</v>
      </c>
      <c r="DC14">
        <v>40</v>
      </c>
      <c r="DF14">
        <v>23</v>
      </c>
    </row>
    <row r="15" spans="1:267" x14ac:dyDescent="0.3">
      <c r="A15" t="s">
        <v>10</v>
      </c>
      <c r="B15" t="s">
        <v>11</v>
      </c>
      <c r="C15" t="s">
        <v>46</v>
      </c>
      <c r="D15" t="s">
        <v>47</v>
      </c>
      <c r="E15" t="s">
        <v>48</v>
      </c>
      <c r="F15" t="s">
        <v>12</v>
      </c>
      <c r="G15" t="s">
        <v>13</v>
      </c>
      <c r="H15" t="s">
        <v>161</v>
      </c>
      <c r="I15">
        <v>156</v>
      </c>
      <c r="J15" t="s">
        <v>9</v>
      </c>
      <c r="BY15">
        <v>36</v>
      </c>
      <c r="BZ15">
        <v>42</v>
      </c>
      <c r="CA15">
        <v>42</v>
      </c>
      <c r="CD15">
        <v>36</v>
      </c>
    </row>
    <row r="16" spans="1:267" x14ac:dyDescent="0.3">
      <c r="A16" t="s">
        <v>10</v>
      </c>
      <c r="B16" t="s">
        <v>11</v>
      </c>
      <c r="C16" t="s">
        <v>46</v>
      </c>
      <c r="D16" t="s">
        <v>47</v>
      </c>
      <c r="E16" t="s">
        <v>48</v>
      </c>
      <c r="F16" t="s">
        <v>12</v>
      </c>
      <c r="G16" t="s">
        <v>13</v>
      </c>
      <c r="H16" t="s">
        <v>16</v>
      </c>
      <c r="I16">
        <v>84</v>
      </c>
      <c r="J16" t="s">
        <v>9</v>
      </c>
      <c r="BJ16">
        <v>6</v>
      </c>
      <c r="BK16">
        <v>42</v>
      </c>
      <c r="BL16">
        <v>36</v>
      </c>
    </row>
    <row r="17" spans="1:246" x14ac:dyDescent="0.3">
      <c r="A17" t="s">
        <v>10</v>
      </c>
      <c r="B17" t="s">
        <v>11</v>
      </c>
      <c r="C17" t="s">
        <v>126</v>
      </c>
      <c r="D17" t="s">
        <v>127</v>
      </c>
      <c r="E17" t="s">
        <v>128</v>
      </c>
      <c r="F17" t="s">
        <v>12</v>
      </c>
      <c r="G17" t="s">
        <v>13</v>
      </c>
      <c r="H17" t="s">
        <v>15</v>
      </c>
      <c r="I17">
        <v>0</v>
      </c>
    </row>
    <row r="18" spans="1:246" x14ac:dyDescent="0.3">
      <c r="A18" t="s">
        <v>10</v>
      </c>
      <c r="B18" t="s">
        <v>11</v>
      </c>
      <c r="C18" t="s">
        <v>163</v>
      </c>
      <c r="D18" t="s">
        <v>61</v>
      </c>
      <c r="E18" t="s">
        <v>157</v>
      </c>
      <c r="F18" t="s">
        <v>12</v>
      </c>
      <c r="G18" t="s">
        <v>13</v>
      </c>
      <c r="H18" t="s">
        <v>15</v>
      </c>
      <c r="I18">
        <v>600</v>
      </c>
      <c r="DF18">
        <v>15</v>
      </c>
      <c r="DG18">
        <v>36</v>
      </c>
      <c r="DM18">
        <v>40</v>
      </c>
      <c r="DN18">
        <v>40</v>
      </c>
      <c r="DO18">
        <v>40</v>
      </c>
      <c r="DP18">
        <v>40</v>
      </c>
      <c r="DQ18">
        <v>40</v>
      </c>
      <c r="DT18">
        <v>40</v>
      </c>
      <c r="DU18">
        <v>40</v>
      </c>
      <c r="DV18">
        <v>40</v>
      </c>
      <c r="DW18">
        <v>40</v>
      </c>
      <c r="DX18">
        <v>40</v>
      </c>
      <c r="EA18">
        <v>18</v>
      </c>
      <c r="EI18">
        <v>11</v>
      </c>
      <c r="EV18">
        <v>21</v>
      </c>
      <c r="EW18">
        <v>21</v>
      </c>
      <c r="EX18">
        <v>21</v>
      </c>
      <c r="EY18">
        <v>21</v>
      </c>
      <c r="EZ18">
        <v>21</v>
      </c>
      <c r="FD18">
        <v>15</v>
      </c>
    </row>
    <row r="19" spans="1:246" x14ac:dyDescent="0.3">
      <c r="A19" t="s">
        <v>10</v>
      </c>
      <c r="B19" t="s">
        <v>11</v>
      </c>
      <c r="C19" t="s">
        <v>129</v>
      </c>
      <c r="D19" t="s">
        <v>130</v>
      </c>
      <c r="E19" t="s">
        <v>131</v>
      </c>
      <c r="F19" t="s">
        <v>132</v>
      </c>
      <c r="G19" t="s">
        <v>133</v>
      </c>
      <c r="H19" t="s">
        <v>134</v>
      </c>
      <c r="I19">
        <v>12</v>
      </c>
      <c r="J19" t="s">
        <v>9</v>
      </c>
      <c r="CL19">
        <v>12</v>
      </c>
    </row>
    <row r="20" spans="1:246" x14ac:dyDescent="0.3">
      <c r="A20" t="s">
        <v>10</v>
      </c>
      <c r="B20" t="s">
        <v>11</v>
      </c>
      <c r="C20" t="s">
        <v>129</v>
      </c>
      <c r="D20" t="s">
        <v>130</v>
      </c>
      <c r="E20" t="s">
        <v>131</v>
      </c>
      <c r="F20" t="s">
        <v>135</v>
      </c>
      <c r="G20" t="s">
        <v>115</v>
      </c>
      <c r="H20" t="s">
        <v>136</v>
      </c>
      <c r="I20">
        <v>24</v>
      </c>
      <c r="J20" t="s">
        <v>9</v>
      </c>
      <c r="CL20">
        <v>24</v>
      </c>
    </row>
    <row r="21" spans="1:246" x14ac:dyDescent="0.3">
      <c r="A21" t="s">
        <v>10</v>
      </c>
      <c r="B21" t="s">
        <v>11</v>
      </c>
      <c r="C21" t="s">
        <v>14</v>
      </c>
      <c r="D21" t="s">
        <v>137</v>
      </c>
      <c r="E21" t="s">
        <v>138</v>
      </c>
      <c r="F21" t="s">
        <v>139</v>
      </c>
      <c r="G21" t="s">
        <v>140</v>
      </c>
      <c r="H21" t="s">
        <v>141</v>
      </c>
      <c r="I21">
        <v>1</v>
      </c>
      <c r="J21" t="s">
        <v>9</v>
      </c>
      <c r="BL21">
        <v>1</v>
      </c>
    </row>
    <row r="22" spans="1:246" x14ac:dyDescent="0.3">
      <c r="A22" t="s">
        <v>10</v>
      </c>
      <c r="B22" t="s">
        <v>21</v>
      </c>
      <c r="C22" t="s">
        <v>49</v>
      </c>
      <c r="D22" t="s">
        <v>50</v>
      </c>
      <c r="E22" t="s">
        <v>51</v>
      </c>
      <c r="F22" t="s">
        <v>24</v>
      </c>
      <c r="G22" t="s">
        <v>25</v>
      </c>
      <c r="I22">
        <v>16</v>
      </c>
      <c r="J22" t="s">
        <v>9</v>
      </c>
      <c r="AQ22">
        <v>16</v>
      </c>
    </row>
    <row r="23" spans="1:246" x14ac:dyDescent="0.3">
      <c r="A23" t="s">
        <v>10</v>
      </c>
      <c r="B23" t="s">
        <v>21</v>
      </c>
      <c r="C23" t="s">
        <v>22</v>
      </c>
      <c r="D23" t="s">
        <v>23</v>
      </c>
      <c r="E23" t="s">
        <v>27</v>
      </c>
      <c r="F23" t="s">
        <v>24</v>
      </c>
      <c r="G23" t="s">
        <v>25</v>
      </c>
      <c r="I23">
        <v>24</v>
      </c>
      <c r="J23" t="s">
        <v>9</v>
      </c>
      <c r="AQ23">
        <v>24</v>
      </c>
    </row>
    <row r="24" spans="1:246" x14ac:dyDescent="0.3">
      <c r="A24" t="s">
        <v>10</v>
      </c>
      <c r="B24" t="s">
        <v>21</v>
      </c>
      <c r="C24" t="s">
        <v>142</v>
      </c>
      <c r="D24" t="s">
        <v>143</v>
      </c>
      <c r="E24" t="s">
        <v>144</v>
      </c>
      <c r="F24" t="s">
        <v>117</v>
      </c>
      <c r="G24" t="s">
        <v>145</v>
      </c>
      <c r="I24">
        <v>80</v>
      </c>
      <c r="J24" t="s">
        <v>9</v>
      </c>
      <c r="CY24">
        <v>40</v>
      </c>
      <c r="CZ24">
        <v>40</v>
      </c>
    </row>
    <row r="25" spans="1:246" x14ac:dyDescent="0.3">
      <c r="A25" t="s">
        <v>10</v>
      </c>
      <c r="B25" t="s">
        <v>21</v>
      </c>
      <c r="C25" t="s">
        <v>116</v>
      </c>
      <c r="D25" t="s">
        <v>146</v>
      </c>
      <c r="E25" t="s">
        <v>147</v>
      </c>
      <c r="F25" t="s">
        <v>24</v>
      </c>
      <c r="G25" t="s">
        <v>25</v>
      </c>
      <c r="I25">
        <v>160</v>
      </c>
      <c r="J25" t="s">
        <v>9</v>
      </c>
      <c r="AR25">
        <v>16</v>
      </c>
      <c r="EI25">
        <v>10</v>
      </c>
      <c r="EJ25">
        <v>21</v>
      </c>
      <c r="EK25">
        <v>21</v>
      </c>
      <c r="EL25">
        <v>21</v>
      </c>
      <c r="EO25">
        <v>19</v>
      </c>
      <c r="EP25">
        <v>21</v>
      </c>
      <c r="FD25">
        <v>6</v>
      </c>
      <c r="FE25">
        <v>23</v>
      </c>
      <c r="FF25">
        <v>2</v>
      </c>
    </row>
    <row r="26" spans="1:246" x14ac:dyDescent="0.3">
      <c r="A26" t="s">
        <v>10</v>
      </c>
      <c r="B26" t="s">
        <v>21</v>
      </c>
      <c r="C26" t="s">
        <v>49</v>
      </c>
      <c r="D26" t="s">
        <v>164</v>
      </c>
      <c r="E26" t="s">
        <v>165</v>
      </c>
      <c r="F26" t="s">
        <v>166</v>
      </c>
      <c r="G26" t="s">
        <v>167</v>
      </c>
      <c r="I26">
        <v>120</v>
      </c>
      <c r="FF26">
        <v>13</v>
      </c>
      <c r="FG26">
        <v>23</v>
      </c>
      <c r="FJ26">
        <v>23</v>
      </c>
      <c r="FK26">
        <v>23</v>
      </c>
      <c r="FL26">
        <v>23</v>
      </c>
      <c r="FQ26">
        <v>15</v>
      </c>
    </row>
    <row r="27" spans="1:246" x14ac:dyDescent="0.3">
      <c r="A27" t="s">
        <v>10</v>
      </c>
      <c r="B27" t="s">
        <v>21</v>
      </c>
      <c r="C27" t="s">
        <v>49</v>
      </c>
      <c r="D27" t="s">
        <v>164</v>
      </c>
      <c r="E27" t="s">
        <v>168</v>
      </c>
      <c r="F27" t="s">
        <v>166</v>
      </c>
      <c r="G27" t="s">
        <v>167</v>
      </c>
      <c r="I27">
        <v>4</v>
      </c>
      <c r="FF27">
        <v>4</v>
      </c>
    </row>
    <row r="28" spans="1:246" x14ac:dyDescent="0.3">
      <c r="A28" t="s">
        <v>10</v>
      </c>
      <c r="B28" t="s">
        <v>21</v>
      </c>
      <c r="C28" t="s">
        <v>49</v>
      </c>
      <c r="D28" t="s">
        <v>164</v>
      </c>
      <c r="E28" t="s">
        <v>446</v>
      </c>
      <c r="F28" t="s">
        <v>24</v>
      </c>
      <c r="G28" t="s">
        <v>25</v>
      </c>
      <c r="I28">
        <v>4</v>
      </c>
      <c r="FF28">
        <v>4</v>
      </c>
    </row>
    <row r="29" spans="1:246" x14ac:dyDescent="0.3">
      <c r="A29" t="s">
        <v>10</v>
      </c>
      <c r="B29" t="s">
        <v>21</v>
      </c>
      <c r="C29" t="s">
        <v>447</v>
      </c>
      <c r="D29" t="s">
        <v>448</v>
      </c>
      <c r="E29" t="s">
        <v>449</v>
      </c>
      <c r="F29" t="s">
        <v>24</v>
      </c>
      <c r="G29" t="s">
        <v>25</v>
      </c>
      <c r="I29">
        <v>16</v>
      </c>
      <c r="FQ29">
        <v>8</v>
      </c>
      <c r="FR29">
        <v>2</v>
      </c>
      <c r="IC29">
        <v>6</v>
      </c>
    </row>
    <row r="30" spans="1:246" x14ac:dyDescent="0.3">
      <c r="A30" t="s">
        <v>10</v>
      </c>
      <c r="B30" t="s">
        <v>21</v>
      </c>
      <c r="C30" t="s">
        <v>447</v>
      </c>
      <c r="D30" t="s">
        <v>448</v>
      </c>
      <c r="E30" t="s">
        <v>450</v>
      </c>
      <c r="F30" t="s">
        <v>117</v>
      </c>
      <c r="G30" t="s">
        <v>145</v>
      </c>
      <c r="I30">
        <v>160</v>
      </c>
      <c r="IC30">
        <v>17</v>
      </c>
      <c r="ID30">
        <v>23</v>
      </c>
      <c r="IE30">
        <v>15</v>
      </c>
      <c r="IF30">
        <v>23</v>
      </c>
      <c r="II30">
        <v>23</v>
      </c>
      <c r="IJ30">
        <v>23</v>
      </c>
      <c r="IK30">
        <v>23</v>
      </c>
      <c r="IL30">
        <v>13</v>
      </c>
    </row>
    <row r="31" spans="1:246" x14ac:dyDescent="0.3">
      <c r="A31" t="s">
        <v>10</v>
      </c>
      <c r="B31" t="s">
        <v>177</v>
      </c>
      <c r="C31" t="s">
        <v>178</v>
      </c>
      <c r="D31" t="s">
        <v>179</v>
      </c>
      <c r="F31" t="s">
        <v>180</v>
      </c>
      <c r="G31" t="s">
        <v>181</v>
      </c>
      <c r="I31">
        <v>504</v>
      </c>
    </row>
    <row r="32" spans="1:246" x14ac:dyDescent="0.3">
      <c r="A32" t="s">
        <v>28</v>
      </c>
      <c r="B32" t="s">
        <v>29</v>
      </c>
      <c r="C32" t="s">
        <v>14</v>
      </c>
      <c r="D32" t="s">
        <v>17</v>
      </c>
      <c r="E32" t="s">
        <v>18</v>
      </c>
      <c r="F32" t="s">
        <v>30</v>
      </c>
      <c r="G32" t="s">
        <v>31</v>
      </c>
      <c r="H32" t="s">
        <v>15</v>
      </c>
      <c r="I32">
        <v>30</v>
      </c>
      <c r="J32" t="s">
        <v>9</v>
      </c>
    </row>
    <row r="33" spans="1:163" x14ac:dyDescent="0.3">
      <c r="A33" t="s">
        <v>28</v>
      </c>
      <c r="B33" t="s">
        <v>29</v>
      </c>
      <c r="C33" t="s">
        <v>14</v>
      </c>
      <c r="D33" t="s">
        <v>17</v>
      </c>
      <c r="E33" t="s">
        <v>19</v>
      </c>
      <c r="F33" t="s">
        <v>30</v>
      </c>
      <c r="G33" t="s">
        <v>31</v>
      </c>
      <c r="H33" t="s">
        <v>15</v>
      </c>
      <c r="I33">
        <v>30</v>
      </c>
      <c r="J33" t="s">
        <v>9</v>
      </c>
    </row>
    <row r="34" spans="1:163" x14ac:dyDescent="0.3">
      <c r="A34" t="s">
        <v>28</v>
      </c>
      <c r="B34" t="s">
        <v>29</v>
      </c>
      <c r="C34" t="s">
        <v>14</v>
      </c>
      <c r="D34" t="s">
        <v>17</v>
      </c>
      <c r="E34" t="s">
        <v>20</v>
      </c>
      <c r="F34" t="s">
        <v>30</v>
      </c>
      <c r="G34" t="s">
        <v>31</v>
      </c>
      <c r="H34" t="s">
        <v>15</v>
      </c>
      <c r="I34">
        <v>30</v>
      </c>
      <c r="J34" t="s">
        <v>9</v>
      </c>
      <c r="N34">
        <v>3</v>
      </c>
      <c r="P34">
        <v>8</v>
      </c>
      <c r="S34">
        <v>7</v>
      </c>
    </row>
    <row r="35" spans="1:163" x14ac:dyDescent="0.3">
      <c r="A35" t="s">
        <v>28</v>
      </c>
      <c r="B35" t="s">
        <v>29</v>
      </c>
      <c r="C35" t="s">
        <v>14</v>
      </c>
      <c r="D35" t="s">
        <v>17</v>
      </c>
      <c r="E35" t="s">
        <v>40</v>
      </c>
      <c r="F35" t="s">
        <v>30</v>
      </c>
      <c r="G35" t="s">
        <v>31</v>
      </c>
      <c r="H35" t="s">
        <v>15</v>
      </c>
      <c r="I35">
        <v>30</v>
      </c>
      <c r="J35" t="s">
        <v>9</v>
      </c>
      <c r="U35">
        <v>8</v>
      </c>
      <c r="W35">
        <v>7</v>
      </c>
      <c r="AA35">
        <v>8</v>
      </c>
      <c r="AC35">
        <v>7</v>
      </c>
    </row>
    <row r="36" spans="1:163" x14ac:dyDescent="0.3">
      <c r="A36" t="s">
        <v>28</v>
      </c>
      <c r="B36" t="s">
        <v>29</v>
      </c>
      <c r="C36" t="s">
        <v>14</v>
      </c>
      <c r="D36" t="s">
        <v>17</v>
      </c>
      <c r="E36" t="s">
        <v>41</v>
      </c>
      <c r="F36" t="s">
        <v>30</v>
      </c>
      <c r="G36" t="s">
        <v>31</v>
      </c>
      <c r="H36" t="s">
        <v>15</v>
      </c>
      <c r="I36">
        <v>30</v>
      </c>
      <c r="J36" t="s">
        <v>9</v>
      </c>
      <c r="AH36">
        <v>8</v>
      </c>
      <c r="AJ36">
        <v>7</v>
      </c>
      <c r="AN36">
        <v>8</v>
      </c>
      <c r="AP36">
        <v>5</v>
      </c>
      <c r="AU36">
        <v>2</v>
      </c>
    </row>
    <row r="37" spans="1:163" x14ac:dyDescent="0.3">
      <c r="A37" t="s">
        <v>28</v>
      </c>
      <c r="B37" t="s">
        <v>29</v>
      </c>
      <c r="C37" t="s">
        <v>14</v>
      </c>
      <c r="D37" t="s">
        <v>17</v>
      </c>
      <c r="E37" t="s">
        <v>42</v>
      </c>
      <c r="F37" t="s">
        <v>30</v>
      </c>
      <c r="G37" t="s">
        <v>31</v>
      </c>
      <c r="H37" t="s">
        <v>15</v>
      </c>
      <c r="I37">
        <v>30</v>
      </c>
      <c r="J37" t="s">
        <v>9</v>
      </c>
      <c r="AU37">
        <v>5</v>
      </c>
      <c r="AW37">
        <v>8</v>
      </c>
      <c r="BE37">
        <v>8</v>
      </c>
      <c r="BI37">
        <v>7</v>
      </c>
      <c r="BJ37">
        <v>2</v>
      </c>
    </row>
    <row r="38" spans="1:163" x14ac:dyDescent="0.3">
      <c r="A38" t="s">
        <v>28</v>
      </c>
      <c r="B38" t="s">
        <v>29</v>
      </c>
      <c r="C38" t="s">
        <v>14</v>
      </c>
      <c r="D38" t="s">
        <v>17</v>
      </c>
      <c r="E38" t="s">
        <v>43</v>
      </c>
      <c r="F38" t="s">
        <v>30</v>
      </c>
      <c r="G38" t="s">
        <v>31</v>
      </c>
      <c r="H38" t="s">
        <v>15</v>
      </c>
      <c r="I38">
        <v>30</v>
      </c>
      <c r="J38" t="s">
        <v>9</v>
      </c>
      <c r="BK38">
        <v>8</v>
      </c>
      <c r="BM38">
        <v>5</v>
      </c>
      <c r="BS38">
        <v>8</v>
      </c>
      <c r="CD38">
        <v>6</v>
      </c>
      <c r="CH38">
        <v>3</v>
      </c>
    </row>
    <row r="39" spans="1:163" x14ac:dyDescent="0.3">
      <c r="A39" t="s">
        <v>28</v>
      </c>
      <c r="B39" t="s">
        <v>29</v>
      </c>
      <c r="C39" t="s">
        <v>14</v>
      </c>
      <c r="D39" t="s">
        <v>17</v>
      </c>
      <c r="E39" t="s">
        <v>44</v>
      </c>
      <c r="F39" t="s">
        <v>30</v>
      </c>
      <c r="G39" t="s">
        <v>31</v>
      </c>
      <c r="H39" t="s">
        <v>15</v>
      </c>
      <c r="I39">
        <v>30</v>
      </c>
      <c r="J39" t="s">
        <v>9</v>
      </c>
      <c r="CK39">
        <v>8</v>
      </c>
      <c r="CM39">
        <v>7</v>
      </c>
      <c r="CO39">
        <v>8</v>
      </c>
      <c r="CR39">
        <v>7</v>
      </c>
    </row>
    <row r="40" spans="1:163" x14ac:dyDescent="0.3">
      <c r="A40" t="s">
        <v>28</v>
      </c>
      <c r="B40" t="s">
        <v>29</v>
      </c>
      <c r="C40" t="s">
        <v>14</v>
      </c>
      <c r="D40" t="s">
        <v>17</v>
      </c>
      <c r="E40" t="s">
        <v>45</v>
      </c>
      <c r="F40" t="s">
        <v>30</v>
      </c>
      <c r="G40" t="s">
        <v>31</v>
      </c>
      <c r="H40" t="s">
        <v>15</v>
      </c>
      <c r="I40">
        <v>35</v>
      </c>
      <c r="J40" t="s">
        <v>9</v>
      </c>
      <c r="CT40">
        <v>8</v>
      </c>
      <c r="CV40">
        <v>10</v>
      </c>
      <c r="CZ40">
        <v>7</v>
      </c>
      <c r="DF40">
        <v>7</v>
      </c>
      <c r="DM40">
        <v>2</v>
      </c>
      <c r="DP40">
        <v>1</v>
      </c>
    </row>
    <row r="41" spans="1:163" x14ac:dyDescent="0.3">
      <c r="A41" t="s">
        <v>28</v>
      </c>
      <c r="B41" t="s">
        <v>29</v>
      </c>
      <c r="C41" t="s">
        <v>46</v>
      </c>
      <c r="D41" t="s">
        <v>47</v>
      </c>
      <c r="E41" t="s">
        <v>48</v>
      </c>
      <c r="F41" t="s">
        <v>30</v>
      </c>
      <c r="G41" t="s">
        <v>31</v>
      </c>
      <c r="H41" t="s">
        <v>161</v>
      </c>
      <c r="I41">
        <v>13</v>
      </c>
      <c r="J41" t="s">
        <v>9</v>
      </c>
      <c r="CE41">
        <v>8</v>
      </c>
      <c r="CG41">
        <v>5</v>
      </c>
    </row>
    <row r="42" spans="1:163" x14ac:dyDescent="0.3">
      <c r="A42" t="s">
        <v>28</v>
      </c>
      <c r="B42" t="s">
        <v>29</v>
      </c>
      <c r="C42" t="s">
        <v>46</v>
      </c>
      <c r="D42" t="s">
        <v>47</v>
      </c>
      <c r="E42" t="s">
        <v>48</v>
      </c>
      <c r="F42" t="s">
        <v>30</v>
      </c>
      <c r="G42" t="s">
        <v>31</v>
      </c>
      <c r="H42" t="s">
        <v>16</v>
      </c>
      <c r="I42">
        <v>7</v>
      </c>
      <c r="J42" t="s">
        <v>9</v>
      </c>
      <c r="BQ42">
        <v>7</v>
      </c>
    </row>
    <row r="43" spans="1:163" x14ac:dyDescent="0.3">
      <c r="A43" t="s">
        <v>28</v>
      </c>
      <c r="B43" t="s">
        <v>29</v>
      </c>
      <c r="C43" t="s">
        <v>126</v>
      </c>
      <c r="D43" t="s">
        <v>127</v>
      </c>
      <c r="E43" t="s">
        <v>128</v>
      </c>
      <c r="F43" t="s">
        <v>30</v>
      </c>
      <c r="G43" t="s">
        <v>31</v>
      </c>
      <c r="H43" t="s">
        <v>15</v>
      </c>
      <c r="I43">
        <v>0</v>
      </c>
    </row>
    <row r="44" spans="1:163" x14ac:dyDescent="0.3">
      <c r="A44" t="s">
        <v>28</v>
      </c>
      <c r="B44" t="s">
        <v>29</v>
      </c>
      <c r="C44" t="s">
        <v>163</v>
      </c>
      <c r="D44" t="s">
        <v>61</v>
      </c>
      <c r="E44" t="s">
        <v>157</v>
      </c>
      <c r="F44" t="s">
        <v>30</v>
      </c>
      <c r="G44" t="s">
        <v>31</v>
      </c>
      <c r="H44" t="s">
        <v>15</v>
      </c>
      <c r="I44">
        <v>50</v>
      </c>
      <c r="DP44">
        <v>7</v>
      </c>
      <c r="DQ44">
        <v>7</v>
      </c>
      <c r="DU44">
        <v>7</v>
      </c>
      <c r="DW44">
        <v>7</v>
      </c>
      <c r="EA44">
        <v>6</v>
      </c>
      <c r="EK44">
        <v>6</v>
      </c>
      <c r="EY44">
        <v>5</v>
      </c>
      <c r="FG44">
        <v>5</v>
      </c>
    </row>
    <row r="45" spans="1:163" x14ac:dyDescent="0.3">
      <c r="A45" t="s">
        <v>28</v>
      </c>
      <c r="B45" t="s">
        <v>107</v>
      </c>
      <c r="C45" t="s">
        <v>14</v>
      </c>
      <c r="D45" t="s">
        <v>17</v>
      </c>
      <c r="E45" t="s">
        <v>18</v>
      </c>
      <c r="F45" t="s">
        <v>32</v>
      </c>
      <c r="G45" t="s">
        <v>148</v>
      </c>
      <c r="I45">
        <v>12</v>
      </c>
      <c r="J45" t="s">
        <v>9</v>
      </c>
      <c r="AJ45">
        <v>4</v>
      </c>
      <c r="AO45">
        <v>3</v>
      </c>
      <c r="BZ45">
        <v>4</v>
      </c>
      <c r="CF45">
        <v>1</v>
      </c>
    </row>
    <row r="46" spans="1:163" x14ac:dyDescent="0.3">
      <c r="A46" t="s">
        <v>28</v>
      </c>
      <c r="B46" t="s">
        <v>107</v>
      </c>
      <c r="C46" t="s">
        <v>14</v>
      </c>
      <c r="D46" t="s">
        <v>17</v>
      </c>
      <c r="E46" t="s">
        <v>18</v>
      </c>
      <c r="F46" t="s">
        <v>118</v>
      </c>
      <c r="G46" t="s">
        <v>119</v>
      </c>
      <c r="I46">
        <v>13</v>
      </c>
      <c r="J46" t="s">
        <v>9</v>
      </c>
      <c r="BF46">
        <v>7</v>
      </c>
    </row>
    <row r="47" spans="1:163" x14ac:dyDescent="0.3">
      <c r="A47" t="s">
        <v>28</v>
      </c>
      <c r="B47" t="s">
        <v>107</v>
      </c>
      <c r="C47" t="s">
        <v>14</v>
      </c>
      <c r="D47" t="s">
        <v>17</v>
      </c>
      <c r="E47" t="s">
        <v>18</v>
      </c>
      <c r="F47" t="s">
        <v>120</v>
      </c>
      <c r="G47" t="s">
        <v>149</v>
      </c>
      <c r="I47">
        <v>1</v>
      </c>
      <c r="J47" t="s">
        <v>9</v>
      </c>
      <c r="CF47">
        <v>1</v>
      </c>
    </row>
    <row r="48" spans="1:163" x14ac:dyDescent="0.3">
      <c r="A48" t="s">
        <v>28</v>
      </c>
      <c r="B48" t="s">
        <v>107</v>
      </c>
      <c r="C48" t="s">
        <v>46</v>
      </c>
      <c r="D48" t="s">
        <v>47</v>
      </c>
      <c r="E48" t="s">
        <v>48</v>
      </c>
      <c r="F48" t="s">
        <v>32</v>
      </c>
      <c r="G48" t="s">
        <v>52</v>
      </c>
      <c r="I48">
        <v>4</v>
      </c>
      <c r="J48" t="s">
        <v>9</v>
      </c>
      <c r="BR48">
        <v>4</v>
      </c>
    </row>
    <row r="49" spans="1:253" x14ac:dyDescent="0.3">
      <c r="A49" t="s">
        <v>28</v>
      </c>
      <c r="B49" t="s">
        <v>107</v>
      </c>
      <c r="C49" t="s">
        <v>126</v>
      </c>
      <c r="D49" t="s">
        <v>127</v>
      </c>
      <c r="E49" t="s">
        <v>128</v>
      </c>
      <c r="F49" t="s">
        <v>32</v>
      </c>
      <c r="G49" t="s">
        <v>148</v>
      </c>
      <c r="I49">
        <v>7</v>
      </c>
      <c r="J49" t="s">
        <v>9</v>
      </c>
      <c r="CN49">
        <v>4</v>
      </c>
      <c r="CU49">
        <v>3</v>
      </c>
    </row>
    <row r="50" spans="1:253" x14ac:dyDescent="0.3">
      <c r="A50" t="s">
        <v>28</v>
      </c>
      <c r="B50" t="s">
        <v>33</v>
      </c>
      <c r="C50" t="s">
        <v>49</v>
      </c>
      <c r="D50" t="s">
        <v>50</v>
      </c>
      <c r="E50" t="s">
        <v>51</v>
      </c>
      <c r="F50" t="s">
        <v>54</v>
      </c>
      <c r="G50" t="s">
        <v>55</v>
      </c>
      <c r="I50">
        <v>4</v>
      </c>
      <c r="J50" t="s">
        <v>169</v>
      </c>
      <c r="AV50">
        <v>4</v>
      </c>
    </row>
    <row r="51" spans="1:253" x14ac:dyDescent="0.3">
      <c r="A51" t="s">
        <v>28</v>
      </c>
      <c r="B51" t="s">
        <v>33</v>
      </c>
      <c r="C51" t="s">
        <v>22</v>
      </c>
      <c r="D51" t="s">
        <v>23</v>
      </c>
      <c r="E51" t="s">
        <v>27</v>
      </c>
      <c r="F51" t="s">
        <v>34</v>
      </c>
      <c r="G51" t="s">
        <v>35</v>
      </c>
      <c r="I51">
        <v>6</v>
      </c>
      <c r="J51" t="s">
        <v>169</v>
      </c>
      <c r="AV51">
        <v>6</v>
      </c>
    </row>
    <row r="52" spans="1:253" x14ac:dyDescent="0.3">
      <c r="A52" t="s">
        <v>28</v>
      </c>
      <c r="B52" t="s">
        <v>33</v>
      </c>
      <c r="C52" t="s">
        <v>142</v>
      </c>
      <c r="D52" t="s">
        <v>143</v>
      </c>
      <c r="E52" t="s">
        <v>144</v>
      </c>
      <c r="F52" t="s">
        <v>123</v>
      </c>
      <c r="G52" t="s">
        <v>150</v>
      </c>
      <c r="I52">
        <v>16</v>
      </c>
      <c r="J52" t="s">
        <v>169</v>
      </c>
      <c r="DA52">
        <v>8</v>
      </c>
      <c r="DC52">
        <v>8</v>
      </c>
    </row>
    <row r="53" spans="1:253" x14ac:dyDescent="0.3">
      <c r="A53" t="s">
        <v>28</v>
      </c>
      <c r="B53" t="s">
        <v>33</v>
      </c>
      <c r="C53" t="s">
        <v>116</v>
      </c>
      <c r="D53" t="s">
        <v>146</v>
      </c>
      <c r="E53" t="s">
        <v>147</v>
      </c>
      <c r="F53" t="s">
        <v>122</v>
      </c>
      <c r="G53" t="s">
        <v>124</v>
      </c>
      <c r="I53">
        <v>32</v>
      </c>
      <c r="EP53">
        <v>7</v>
      </c>
      <c r="EW53">
        <v>6</v>
      </c>
      <c r="EZ53">
        <v>7</v>
      </c>
      <c r="FD53">
        <v>5</v>
      </c>
      <c r="FG53">
        <v>1</v>
      </c>
      <c r="FK53">
        <v>6</v>
      </c>
    </row>
    <row r="54" spans="1:253" x14ac:dyDescent="0.3">
      <c r="A54" t="s">
        <v>28</v>
      </c>
      <c r="B54" t="s">
        <v>33</v>
      </c>
      <c r="C54" t="s">
        <v>49</v>
      </c>
      <c r="D54" t="s">
        <v>164</v>
      </c>
      <c r="E54" t="s">
        <v>165</v>
      </c>
      <c r="F54" t="s">
        <v>170</v>
      </c>
      <c r="G54" t="s">
        <v>171</v>
      </c>
      <c r="I54">
        <v>30</v>
      </c>
      <c r="FL54">
        <v>5</v>
      </c>
      <c r="FQ54">
        <v>6</v>
      </c>
      <c r="FS54">
        <v>6</v>
      </c>
      <c r="FU54">
        <v>6</v>
      </c>
      <c r="FX54">
        <v>4</v>
      </c>
      <c r="FZ54">
        <v>3</v>
      </c>
    </row>
    <row r="55" spans="1:253" x14ac:dyDescent="0.3">
      <c r="A55" t="s">
        <v>28</v>
      </c>
      <c r="B55" t="s">
        <v>33</v>
      </c>
      <c r="C55" t="s">
        <v>49</v>
      </c>
      <c r="D55" t="s">
        <v>164</v>
      </c>
      <c r="E55" t="s">
        <v>168</v>
      </c>
      <c r="F55" t="s">
        <v>170</v>
      </c>
      <c r="G55" t="s">
        <v>171</v>
      </c>
      <c r="I55">
        <v>1</v>
      </c>
      <c r="FL55">
        <v>1</v>
      </c>
    </row>
    <row r="56" spans="1:253" x14ac:dyDescent="0.3">
      <c r="A56" t="s">
        <v>28</v>
      </c>
      <c r="B56" t="s">
        <v>33</v>
      </c>
      <c r="C56" t="s">
        <v>49</v>
      </c>
      <c r="D56" t="s">
        <v>164</v>
      </c>
      <c r="E56" t="s">
        <v>446</v>
      </c>
      <c r="F56" t="s">
        <v>54</v>
      </c>
      <c r="G56" t="s">
        <v>55</v>
      </c>
      <c r="I56">
        <v>1</v>
      </c>
      <c r="FR56">
        <v>1</v>
      </c>
    </row>
    <row r="57" spans="1:253" x14ac:dyDescent="0.3">
      <c r="A57" t="s">
        <v>28</v>
      </c>
      <c r="B57" t="s">
        <v>33</v>
      </c>
      <c r="C57" t="s">
        <v>447</v>
      </c>
      <c r="D57" t="s">
        <v>448</v>
      </c>
      <c r="E57" t="s">
        <v>449</v>
      </c>
      <c r="F57" t="s">
        <v>34</v>
      </c>
      <c r="G57" t="s">
        <v>35</v>
      </c>
      <c r="I57">
        <v>4</v>
      </c>
      <c r="IF57">
        <v>4</v>
      </c>
    </row>
    <row r="58" spans="1:253" x14ac:dyDescent="0.3">
      <c r="A58" t="s">
        <v>28</v>
      </c>
      <c r="B58" t="s">
        <v>33</v>
      </c>
      <c r="C58" t="s">
        <v>447</v>
      </c>
      <c r="D58" t="s">
        <v>448</v>
      </c>
      <c r="E58" t="s">
        <v>450</v>
      </c>
      <c r="F58" t="s">
        <v>123</v>
      </c>
      <c r="G58" t="s">
        <v>451</v>
      </c>
      <c r="I58">
        <v>32</v>
      </c>
      <c r="IF58">
        <v>1</v>
      </c>
      <c r="II58">
        <v>5</v>
      </c>
      <c r="IK58">
        <v>5</v>
      </c>
      <c r="IL58">
        <v>5</v>
      </c>
      <c r="IP58">
        <v>5</v>
      </c>
      <c r="IQ58">
        <v>5</v>
      </c>
      <c r="IS58">
        <v>6</v>
      </c>
    </row>
    <row r="59" spans="1:253" x14ac:dyDescent="0.3">
      <c r="A59" t="s">
        <v>28</v>
      </c>
      <c r="B59" t="s">
        <v>108</v>
      </c>
      <c r="C59" t="s">
        <v>26</v>
      </c>
      <c r="D59" t="s">
        <v>57</v>
      </c>
      <c r="E59" t="s">
        <v>53</v>
      </c>
      <c r="F59" t="s">
        <v>36</v>
      </c>
      <c r="G59" t="s">
        <v>37</v>
      </c>
      <c r="I59">
        <v>2</v>
      </c>
      <c r="J59" t="s">
        <v>169</v>
      </c>
    </row>
    <row r="60" spans="1:253" x14ac:dyDescent="0.3">
      <c r="A60" t="s">
        <v>28</v>
      </c>
      <c r="B60" t="s">
        <v>109</v>
      </c>
      <c r="C60" t="s">
        <v>26</v>
      </c>
      <c r="D60" t="s">
        <v>57</v>
      </c>
      <c r="E60" t="s">
        <v>53</v>
      </c>
      <c r="F60" t="s">
        <v>38</v>
      </c>
      <c r="G60" t="s">
        <v>39</v>
      </c>
      <c r="I60">
        <v>2</v>
      </c>
      <c r="J60" t="s">
        <v>169</v>
      </c>
      <c r="AC60">
        <v>2</v>
      </c>
    </row>
    <row r="61" spans="1:253" x14ac:dyDescent="0.3">
      <c r="A61" t="s">
        <v>28</v>
      </c>
      <c r="B61" t="s">
        <v>162</v>
      </c>
      <c r="C61" t="s">
        <v>49</v>
      </c>
      <c r="D61" t="s">
        <v>50</v>
      </c>
      <c r="E61" t="s">
        <v>51</v>
      </c>
      <c r="F61" t="s">
        <v>58</v>
      </c>
      <c r="G61" t="s">
        <v>59</v>
      </c>
      <c r="I61">
        <v>4</v>
      </c>
      <c r="J61" t="s">
        <v>169</v>
      </c>
      <c r="AV61">
        <v>4</v>
      </c>
    </row>
    <row r="62" spans="1:253" x14ac:dyDescent="0.3">
      <c r="A62" t="s">
        <v>28</v>
      </c>
      <c r="B62" t="s">
        <v>162</v>
      </c>
      <c r="C62" t="s">
        <v>22</v>
      </c>
      <c r="D62" t="s">
        <v>23</v>
      </c>
      <c r="E62" t="s">
        <v>151</v>
      </c>
      <c r="F62" t="s">
        <v>62</v>
      </c>
      <c r="G62" t="s">
        <v>63</v>
      </c>
      <c r="I62">
        <v>10</v>
      </c>
      <c r="J62" t="s">
        <v>169</v>
      </c>
      <c r="BJ62">
        <v>5</v>
      </c>
      <c r="BM62">
        <v>5</v>
      </c>
    </row>
    <row r="63" spans="1:253" x14ac:dyDescent="0.3">
      <c r="A63" t="s">
        <v>28</v>
      </c>
      <c r="B63" t="s">
        <v>108</v>
      </c>
      <c r="C63" t="s">
        <v>22</v>
      </c>
      <c r="D63" t="s">
        <v>23</v>
      </c>
      <c r="E63" t="s">
        <v>56</v>
      </c>
      <c r="F63" t="s">
        <v>36</v>
      </c>
      <c r="G63" t="s">
        <v>37</v>
      </c>
      <c r="I63">
        <v>2</v>
      </c>
      <c r="J63" t="s">
        <v>169</v>
      </c>
      <c r="BM63">
        <v>2</v>
      </c>
    </row>
    <row r="64" spans="1:253" x14ac:dyDescent="0.3">
      <c r="A64" t="s">
        <v>28</v>
      </c>
      <c r="B64" t="s">
        <v>108</v>
      </c>
      <c r="C64" t="s">
        <v>142</v>
      </c>
      <c r="D64" t="s">
        <v>143</v>
      </c>
      <c r="E64" t="s">
        <v>144</v>
      </c>
      <c r="F64" t="s">
        <v>125</v>
      </c>
      <c r="G64" t="s">
        <v>152</v>
      </c>
      <c r="I64">
        <v>2</v>
      </c>
      <c r="J64" t="s">
        <v>169</v>
      </c>
      <c r="DA64">
        <v>2</v>
      </c>
    </row>
    <row r="65" spans="1:267" x14ac:dyDescent="0.3">
      <c r="A65" t="s">
        <v>28</v>
      </c>
      <c r="B65" t="s">
        <v>108</v>
      </c>
      <c r="C65" t="s">
        <v>116</v>
      </c>
      <c r="D65" t="s">
        <v>146</v>
      </c>
      <c r="E65" t="s">
        <v>147</v>
      </c>
      <c r="F65" t="s">
        <v>125</v>
      </c>
      <c r="G65" t="s">
        <v>152</v>
      </c>
      <c r="I65">
        <v>4</v>
      </c>
      <c r="J65" t="s">
        <v>169</v>
      </c>
      <c r="DX65">
        <v>2</v>
      </c>
      <c r="EA65">
        <v>2</v>
      </c>
    </row>
    <row r="66" spans="1:267" x14ac:dyDescent="0.3">
      <c r="A66" t="s">
        <v>28</v>
      </c>
      <c r="B66" t="s">
        <v>162</v>
      </c>
      <c r="C66" t="s">
        <v>49</v>
      </c>
      <c r="D66" t="s">
        <v>164</v>
      </c>
      <c r="E66" t="s">
        <v>165</v>
      </c>
      <c r="F66" t="s">
        <v>58</v>
      </c>
      <c r="G66" t="s">
        <v>59</v>
      </c>
      <c r="I66">
        <v>5</v>
      </c>
      <c r="FZ66">
        <v>5</v>
      </c>
    </row>
    <row r="67" spans="1:267" x14ac:dyDescent="0.3">
      <c r="A67" t="s">
        <v>28</v>
      </c>
      <c r="B67" t="s">
        <v>162</v>
      </c>
      <c r="C67" t="s">
        <v>49</v>
      </c>
      <c r="D67" t="s">
        <v>164</v>
      </c>
      <c r="E67" t="s">
        <v>168</v>
      </c>
      <c r="F67" t="s">
        <v>58</v>
      </c>
      <c r="G67" t="s">
        <v>59</v>
      </c>
      <c r="I67">
        <v>2</v>
      </c>
      <c r="FR67">
        <v>2</v>
      </c>
    </row>
    <row r="68" spans="1:267" x14ac:dyDescent="0.3">
      <c r="A68" t="s">
        <v>28</v>
      </c>
      <c r="B68" t="s">
        <v>452</v>
      </c>
      <c r="C68" t="s">
        <v>447</v>
      </c>
      <c r="D68" t="s">
        <v>448</v>
      </c>
      <c r="E68" t="s">
        <v>450</v>
      </c>
      <c r="F68" t="s">
        <v>453</v>
      </c>
      <c r="G68" t="s">
        <v>454</v>
      </c>
      <c r="I68">
        <v>8</v>
      </c>
      <c r="IP68">
        <v>4</v>
      </c>
      <c r="IS68">
        <v>4</v>
      </c>
    </row>
    <row r="69" spans="1:267" x14ac:dyDescent="0.3">
      <c r="A69" t="s">
        <v>28</v>
      </c>
      <c r="B69" t="s">
        <v>455</v>
      </c>
      <c r="C69" t="s">
        <v>447</v>
      </c>
      <c r="D69" t="s">
        <v>448</v>
      </c>
      <c r="E69" t="s">
        <v>450</v>
      </c>
      <c r="F69" t="s">
        <v>456</v>
      </c>
      <c r="G69" t="s">
        <v>457</v>
      </c>
      <c r="I69">
        <v>8</v>
      </c>
      <c r="IM69">
        <v>4</v>
      </c>
      <c r="IQ69">
        <v>4</v>
      </c>
    </row>
    <row r="70" spans="1:267" x14ac:dyDescent="0.3">
      <c r="A70" t="s">
        <v>28</v>
      </c>
      <c r="B70" t="s">
        <v>452</v>
      </c>
      <c r="C70" t="s">
        <v>447</v>
      </c>
      <c r="D70" t="s">
        <v>448</v>
      </c>
      <c r="E70" t="s">
        <v>449</v>
      </c>
      <c r="F70" t="s">
        <v>458</v>
      </c>
      <c r="G70" t="s">
        <v>459</v>
      </c>
      <c r="I70">
        <v>4</v>
      </c>
      <c r="IJ70">
        <v>2</v>
      </c>
      <c r="IK70">
        <v>2</v>
      </c>
    </row>
    <row r="71" spans="1:267" x14ac:dyDescent="0.3">
      <c r="A71" t="s">
        <v>28</v>
      </c>
      <c r="B71" t="s">
        <v>111</v>
      </c>
      <c r="C71" t="s">
        <v>129</v>
      </c>
      <c r="D71" t="s">
        <v>130</v>
      </c>
      <c r="E71" t="s">
        <v>131</v>
      </c>
      <c r="F71" t="s">
        <v>121</v>
      </c>
      <c r="G71" t="s">
        <v>154</v>
      </c>
      <c r="I71">
        <v>1</v>
      </c>
      <c r="J71" t="s">
        <v>169</v>
      </c>
      <c r="CN71">
        <v>1</v>
      </c>
    </row>
    <row r="72" spans="1:267" x14ac:dyDescent="0.3">
      <c r="A72" t="s">
        <v>28</v>
      </c>
      <c r="B72" t="s">
        <v>153</v>
      </c>
      <c r="C72" t="s">
        <v>129</v>
      </c>
      <c r="D72" t="s">
        <v>130</v>
      </c>
      <c r="E72" t="s">
        <v>131</v>
      </c>
      <c r="F72" t="s">
        <v>155</v>
      </c>
      <c r="G72" t="s">
        <v>156</v>
      </c>
      <c r="I72">
        <v>1</v>
      </c>
      <c r="J72" t="s">
        <v>169</v>
      </c>
      <c r="CN72">
        <v>1</v>
      </c>
    </row>
    <row r="73" spans="1:267" x14ac:dyDescent="0.3">
      <c r="A73" t="s">
        <v>28</v>
      </c>
      <c r="B73" t="s">
        <v>153</v>
      </c>
      <c r="C73" t="s">
        <v>114</v>
      </c>
      <c r="E73" t="s">
        <v>182</v>
      </c>
      <c r="F73" t="s">
        <v>158</v>
      </c>
      <c r="G73" t="s">
        <v>159</v>
      </c>
      <c r="I73">
        <v>2</v>
      </c>
      <c r="J73" t="s">
        <v>169</v>
      </c>
      <c r="AR73">
        <v>2</v>
      </c>
    </row>
    <row r="74" spans="1:267" x14ac:dyDescent="0.3">
      <c r="A74" t="s">
        <v>28</v>
      </c>
      <c r="B74" t="s">
        <v>460</v>
      </c>
      <c r="C74" t="s">
        <v>439</v>
      </c>
      <c r="D74" t="s">
        <v>440</v>
      </c>
      <c r="E74" t="s">
        <v>441</v>
      </c>
      <c r="F74" t="s">
        <v>461</v>
      </c>
      <c r="G74" t="s">
        <v>462</v>
      </c>
      <c r="I74">
        <v>6</v>
      </c>
      <c r="IY74">
        <v>4</v>
      </c>
      <c r="JE74">
        <v>2</v>
      </c>
    </row>
    <row r="75" spans="1:267" x14ac:dyDescent="0.3">
      <c r="A75" t="s">
        <v>28</v>
      </c>
      <c r="B75" t="s">
        <v>463</v>
      </c>
      <c r="C75" t="s">
        <v>439</v>
      </c>
      <c r="D75" t="s">
        <v>440</v>
      </c>
      <c r="E75" t="s">
        <v>441</v>
      </c>
      <c r="F75" t="s">
        <v>464</v>
      </c>
      <c r="G75" t="s">
        <v>465</v>
      </c>
      <c r="I75">
        <v>6</v>
      </c>
      <c r="IY75">
        <v>4</v>
      </c>
      <c r="JE75">
        <v>2</v>
      </c>
    </row>
    <row r="76" spans="1:267" x14ac:dyDescent="0.3">
      <c r="A76" t="s">
        <v>28</v>
      </c>
      <c r="B76" t="s">
        <v>460</v>
      </c>
      <c r="C76" t="s">
        <v>439</v>
      </c>
      <c r="D76" t="s">
        <v>443</v>
      </c>
      <c r="E76" t="s">
        <v>444</v>
      </c>
      <c r="F76" t="s">
        <v>461</v>
      </c>
      <c r="G76" t="s">
        <v>462</v>
      </c>
      <c r="I76">
        <v>2</v>
      </c>
      <c r="JG76">
        <v>2</v>
      </c>
    </row>
    <row r="77" spans="1:267" x14ac:dyDescent="0.3">
      <c r="A77" t="s">
        <v>28</v>
      </c>
      <c r="B77" t="s">
        <v>463</v>
      </c>
      <c r="C77" t="s">
        <v>439</v>
      </c>
      <c r="D77" t="s">
        <v>443</v>
      </c>
      <c r="E77" t="s">
        <v>444</v>
      </c>
      <c r="F77" t="s">
        <v>464</v>
      </c>
      <c r="G77" t="s">
        <v>465</v>
      </c>
      <c r="I77">
        <v>2</v>
      </c>
      <c r="JG77">
        <v>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1030F-CE2F-474A-85F1-20F2E4F43140}">
  <sheetPr codeName="Sheet8"/>
  <dimension ref="A1:B16"/>
  <sheetViews>
    <sheetView workbookViewId="0">
      <selection activeCell="E14" sqref="E14"/>
    </sheetView>
  </sheetViews>
  <sheetFormatPr defaultRowHeight="16.5" x14ac:dyDescent="0.3"/>
  <cols>
    <col min="1" max="1" width="10.125" bestFit="1" customWidth="1"/>
    <col min="2" max="2" width="16.5" bestFit="1" customWidth="1"/>
  </cols>
  <sheetData>
    <row r="1" spans="1:2" x14ac:dyDescent="0.3">
      <c r="A1" s="6" t="s">
        <v>1</v>
      </c>
      <c r="B1" s="6" t="s">
        <v>160</v>
      </c>
    </row>
    <row r="2" spans="1:2" x14ac:dyDescent="0.3">
      <c r="A2" s="6" t="s">
        <v>11</v>
      </c>
      <c r="B2" s="6" t="s">
        <v>103</v>
      </c>
    </row>
    <row r="3" spans="1:2" x14ac:dyDescent="0.3">
      <c r="A3" s="6" t="s">
        <v>21</v>
      </c>
      <c r="B3" s="6" t="s">
        <v>103</v>
      </c>
    </row>
    <row r="4" spans="1:2" x14ac:dyDescent="0.3">
      <c r="A4" s="6" t="s">
        <v>104</v>
      </c>
      <c r="B4" s="6" t="s">
        <v>103</v>
      </c>
    </row>
    <row r="5" spans="1:2" x14ac:dyDescent="0.3">
      <c r="A5" s="6" t="s">
        <v>105</v>
      </c>
      <c r="B5" s="6" t="s">
        <v>106</v>
      </c>
    </row>
    <row r="6" spans="1:2" x14ac:dyDescent="0.3">
      <c r="A6" s="6" t="s">
        <v>29</v>
      </c>
      <c r="B6" s="6" t="s">
        <v>106</v>
      </c>
    </row>
    <row r="7" spans="1:2" x14ac:dyDescent="0.3">
      <c r="A7" s="6" t="s">
        <v>33</v>
      </c>
      <c r="B7" s="6" t="s">
        <v>106</v>
      </c>
    </row>
    <row r="8" spans="1:2" x14ac:dyDescent="0.3">
      <c r="A8" s="6" t="s">
        <v>107</v>
      </c>
      <c r="B8" s="6" t="s">
        <v>110</v>
      </c>
    </row>
    <row r="9" spans="1:2" x14ac:dyDescent="0.3">
      <c r="A9" s="6" t="s">
        <v>108</v>
      </c>
      <c r="B9" s="6" t="s">
        <v>110</v>
      </c>
    </row>
    <row r="10" spans="1:2" x14ac:dyDescent="0.3">
      <c r="A10" s="6" t="s">
        <v>109</v>
      </c>
      <c r="B10" s="6" t="s">
        <v>110</v>
      </c>
    </row>
    <row r="11" spans="1:2" x14ac:dyDescent="0.3">
      <c r="A11" s="6" t="s">
        <v>438</v>
      </c>
      <c r="B11" s="6" t="s">
        <v>110</v>
      </c>
    </row>
    <row r="12" spans="1:2" x14ac:dyDescent="0.3">
      <c r="A12" s="6" t="s">
        <v>111</v>
      </c>
      <c r="B12" s="6" t="s">
        <v>112</v>
      </c>
    </row>
    <row r="13" spans="1:2" x14ac:dyDescent="0.3">
      <c r="A13" s="6" t="s">
        <v>113</v>
      </c>
      <c r="B13" s="6" t="s">
        <v>112</v>
      </c>
    </row>
    <row r="14" spans="1:2" x14ac:dyDescent="0.3">
      <c r="A14" s="6" t="s">
        <v>437</v>
      </c>
      <c r="B14" s="6" t="s">
        <v>110</v>
      </c>
    </row>
    <row r="15" spans="1:2" x14ac:dyDescent="0.3">
      <c r="A15" s="6" t="s">
        <v>436</v>
      </c>
      <c r="B15" s="6" t="s">
        <v>110</v>
      </c>
    </row>
    <row r="16" spans="1:2" x14ac:dyDescent="0.3">
      <c r="A16" s="6" t="s">
        <v>435</v>
      </c>
      <c r="B16" s="6" t="s">
        <v>110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8CBD9-97DB-4001-B227-BA9671A0914F}">
  <dimension ref="A1:M245"/>
  <sheetViews>
    <sheetView topLeftCell="A197" workbookViewId="0">
      <selection activeCell="F252" sqref="F252:G252"/>
    </sheetView>
  </sheetViews>
  <sheetFormatPr defaultRowHeight="16.5" x14ac:dyDescent="0.3"/>
  <cols>
    <col min="9" max="9" width="11.125" style="8" bestFit="1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8" t="s">
        <v>183</v>
      </c>
      <c r="J1" t="s">
        <v>184</v>
      </c>
      <c r="K1" t="s">
        <v>185</v>
      </c>
      <c r="L1" t="s">
        <v>186</v>
      </c>
      <c r="M1" t="s">
        <v>69</v>
      </c>
    </row>
    <row r="2" spans="1:13" x14ac:dyDescent="0.3">
      <c r="A2" t="s">
        <v>10</v>
      </c>
      <c r="B2" t="s">
        <v>172</v>
      </c>
      <c r="C2" t="s">
        <v>439</v>
      </c>
      <c r="D2" t="s">
        <v>440</v>
      </c>
      <c r="E2" t="s">
        <v>441</v>
      </c>
      <c r="F2" t="s">
        <v>173</v>
      </c>
      <c r="G2" t="s">
        <v>174</v>
      </c>
      <c r="I2" s="8">
        <v>45527</v>
      </c>
      <c r="J2">
        <v>5</v>
      </c>
      <c r="K2" t="s">
        <v>187</v>
      </c>
      <c r="M2" t="s">
        <v>466</v>
      </c>
    </row>
    <row r="3" spans="1:13" x14ac:dyDescent="0.3">
      <c r="A3" t="s">
        <v>10</v>
      </c>
      <c r="B3" t="s">
        <v>172</v>
      </c>
      <c r="C3" t="s">
        <v>439</v>
      </c>
      <c r="D3" t="s">
        <v>440</v>
      </c>
      <c r="E3" t="s">
        <v>441</v>
      </c>
      <c r="F3" t="s">
        <v>173</v>
      </c>
      <c r="G3" t="s">
        <v>174</v>
      </c>
      <c r="I3" s="8">
        <v>45530</v>
      </c>
      <c r="J3">
        <v>5</v>
      </c>
      <c r="K3" t="s">
        <v>189</v>
      </c>
      <c r="M3" t="s">
        <v>466</v>
      </c>
    </row>
    <row r="4" spans="1:13" x14ac:dyDescent="0.3">
      <c r="A4" t="s">
        <v>10</v>
      </c>
      <c r="B4" t="s">
        <v>172</v>
      </c>
      <c r="C4" t="s">
        <v>439</v>
      </c>
      <c r="D4" t="s">
        <v>440</v>
      </c>
      <c r="E4" t="s">
        <v>441</v>
      </c>
      <c r="F4" t="s">
        <v>173</v>
      </c>
      <c r="G4" t="s">
        <v>174</v>
      </c>
      <c r="I4" s="8">
        <v>45532</v>
      </c>
      <c r="J4">
        <v>5</v>
      </c>
      <c r="K4" t="s">
        <v>190</v>
      </c>
      <c r="M4" t="s">
        <v>466</v>
      </c>
    </row>
    <row r="5" spans="1:13" x14ac:dyDescent="0.3">
      <c r="A5" t="s">
        <v>10</v>
      </c>
      <c r="B5" t="s">
        <v>172</v>
      </c>
      <c r="C5" t="s">
        <v>439</v>
      </c>
      <c r="D5" t="s">
        <v>440</v>
      </c>
      <c r="E5" t="s">
        <v>441</v>
      </c>
      <c r="F5" t="s">
        <v>173</v>
      </c>
      <c r="G5" t="s">
        <v>174</v>
      </c>
      <c r="I5" s="8">
        <v>45534</v>
      </c>
      <c r="J5">
        <v>5</v>
      </c>
      <c r="K5" t="s">
        <v>192</v>
      </c>
      <c r="M5" t="s">
        <v>466</v>
      </c>
    </row>
    <row r="6" spans="1:13" x14ac:dyDescent="0.3">
      <c r="A6" t="s">
        <v>10</v>
      </c>
      <c r="B6" t="s">
        <v>172</v>
      </c>
      <c r="C6" t="s">
        <v>439</v>
      </c>
      <c r="D6" t="s">
        <v>440</v>
      </c>
      <c r="E6" t="s">
        <v>441</v>
      </c>
      <c r="F6" t="s">
        <v>173</v>
      </c>
      <c r="G6" t="s">
        <v>174</v>
      </c>
      <c r="I6" s="8">
        <v>45537</v>
      </c>
      <c r="J6">
        <v>5</v>
      </c>
      <c r="K6" t="s">
        <v>193</v>
      </c>
      <c r="M6" t="s">
        <v>466</v>
      </c>
    </row>
    <row r="7" spans="1:13" x14ac:dyDescent="0.3">
      <c r="A7" t="s">
        <v>10</v>
      </c>
      <c r="B7" t="s">
        <v>172</v>
      </c>
      <c r="C7" t="s">
        <v>439</v>
      </c>
      <c r="D7" t="s">
        <v>440</v>
      </c>
      <c r="E7" t="s">
        <v>441</v>
      </c>
      <c r="F7" t="s">
        <v>173</v>
      </c>
      <c r="G7" t="s">
        <v>174</v>
      </c>
      <c r="I7" s="8">
        <v>45539</v>
      </c>
      <c r="J7">
        <v>5</v>
      </c>
      <c r="K7" t="s">
        <v>194</v>
      </c>
      <c r="M7" t="s">
        <v>466</v>
      </c>
    </row>
    <row r="8" spans="1:13" x14ac:dyDescent="0.3">
      <c r="A8" t="s">
        <v>10</v>
      </c>
      <c r="B8" t="s">
        <v>172</v>
      </c>
      <c r="C8" t="s">
        <v>439</v>
      </c>
      <c r="D8" t="s">
        <v>440</v>
      </c>
      <c r="E8" t="s">
        <v>442</v>
      </c>
      <c r="F8" t="s">
        <v>175</v>
      </c>
      <c r="G8" t="s">
        <v>176</v>
      </c>
      <c r="I8" s="8">
        <v>45527</v>
      </c>
      <c r="J8">
        <v>2</v>
      </c>
      <c r="K8" t="s">
        <v>195</v>
      </c>
      <c r="M8" t="s">
        <v>467</v>
      </c>
    </row>
    <row r="9" spans="1:13" x14ac:dyDescent="0.3">
      <c r="A9" t="s">
        <v>10</v>
      </c>
      <c r="B9" t="s">
        <v>172</v>
      </c>
      <c r="C9" t="s">
        <v>439</v>
      </c>
      <c r="D9" t="s">
        <v>440</v>
      </c>
      <c r="E9" t="s">
        <v>442</v>
      </c>
      <c r="F9" t="s">
        <v>175</v>
      </c>
      <c r="G9" t="s">
        <v>176</v>
      </c>
      <c r="I9" s="8">
        <v>45530</v>
      </c>
      <c r="J9">
        <v>2</v>
      </c>
      <c r="K9" t="s">
        <v>196</v>
      </c>
      <c r="M9" t="s">
        <v>467</v>
      </c>
    </row>
    <row r="10" spans="1:13" x14ac:dyDescent="0.3">
      <c r="A10" t="s">
        <v>10</v>
      </c>
      <c r="B10" t="s">
        <v>172</v>
      </c>
      <c r="C10" t="s">
        <v>439</v>
      </c>
      <c r="D10" t="s">
        <v>440</v>
      </c>
      <c r="E10" t="s">
        <v>442</v>
      </c>
      <c r="F10" t="s">
        <v>175</v>
      </c>
      <c r="G10" t="s">
        <v>176</v>
      </c>
      <c r="I10" s="8">
        <v>45532</v>
      </c>
      <c r="J10">
        <v>2</v>
      </c>
      <c r="K10" t="s">
        <v>197</v>
      </c>
      <c r="M10" t="s">
        <v>467</v>
      </c>
    </row>
    <row r="11" spans="1:13" x14ac:dyDescent="0.3">
      <c r="A11" t="s">
        <v>10</v>
      </c>
      <c r="B11" t="s">
        <v>172</v>
      </c>
      <c r="C11" t="s">
        <v>439</v>
      </c>
      <c r="D11" t="s">
        <v>440</v>
      </c>
      <c r="E11" t="s">
        <v>442</v>
      </c>
      <c r="F11" t="s">
        <v>175</v>
      </c>
      <c r="G11" t="s">
        <v>176</v>
      </c>
      <c r="I11" s="8">
        <v>45534</v>
      </c>
      <c r="J11">
        <v>2</v>
      </c>
      <c r="K11" t="s">
        <v>198</v>
      </c>
      <c r="M11" t="s">
        <v>467</v>
      </c>
    </row>
    <row r="12" spans="1:13" x14ac:dyDescent="0.3">
      <c r="A12" t="s">
        <v>10</v>
      </c>
      <c r="B12" t="s">
        <v>172</v>
      </c>
      <c r="C12" t="s">
        <v>439</v>
      </c>
      <c r="D12" t="s">
        <v>440</v>
      </c>
      <c r="E12" t="s">
        <v>442</v>
      </c>
      <c r="F12" t="s">
        <v>175</v>
      </c>
      <c r="G12" t="s">
        <v>176</v>
      </c>
      <c r="I12" s="8">
        <v>45537</v>
      </c>
      <c r="J12">
        <v>2</v>
      </c>
      <c r="K12" t="s">
        <v>199</v>
      </c>
      <c r="M12" t="s">
        <v>467</v>
      </c>
    </row>
    <row r="13" spans="1:13" x14ac:dyDescent="0.3">
      <c r="A13" t="s">
        <v>10</v>
      </c>
      <c r="B13" t="s">
        <v>172</v>
      </c>
      <c r="C13" t="s">
        <v>439</v>
      </c>
      <c r="D13" t="s">
        <v>440</v>
      </c>
      <c r="E13" t="s">
        <v>442</v>
      </c>
      <c r="F13" t="s">
        <v>175</v>
      </c>
      <c r="G13" t="s">
        <v>176</v>
      </c>
      <c r="I13" s="8">
        <v>45539</v>
      </c>
      <c r="J13">
        <v>2</v>
      </c>
      <c r="K13" t="s">
        <v>200</v>
      </c>
      <c r="M13" t="s">
        <v>467</v>
      </c>
    </row>
    <row r="14" spans="1:13" x14ac:dyDescent="0.3">
      <c r="A14" t="s">
        <v>10</v>
      </c>
      <c r="B14" t="s">
        <v>172</v>
      </c>
      <c r="C14" t="s">
        <v>439</v>
      </c>
      <c r="D14" t="s">
        <v>443</v>
      </c>
      <c r="E14" t="s">
        <v>444</v>
      </c>
      <c r="F14" t="s">
        <v>173</v>
      </c>
      <c r="G14" t="s">
        <v>174</v>
      </c>
      <c r="I14" s="8">
        <v>45541</v>
      </c>
      <c r="J14">
        <v>5</v>
      </c>
      <c r="K14" t="s">
        <v>201</v>
      </c>
      <c r="M14" t="s">
        <v>468</v>
      </c>
    </row>
    <row r="15" spans="1:13" x14ac:dyDescent="0.3">
      <c r="A15" t="s">
        <v>10</v>
      </c>
      <c r="B15" t="s">
        <v>172</v>
      </c>
      <c r="C15" t="s">
        <v>439</v>
      </c>
      <c r="D15" t="s">
        <v>443</v>
      </c>
      <c r="E15" t="s">
        <v>444</v>
      </c>
      <c r="F15" t="s">
        <v>173</v>
      </c>
      <c r="G15" t="s">
        <v>174</v>
      </c>
      <c r="I15" s="8">
        <v>45544</v>
      </c>
      <c r="J15">
        <v>5</v>
      </c>
      <c r="K15" t="s">
        <v>203</v>
      </c>
      <c r="M15" t="s">
        <v>468</v>
      </c>
    </row>
    <row r="16" spans="1:13" x14ac:dyDescent="0.3">
      <c r="A16" t="s">
        <v>10</v>
      </c>
      <c r="B16" t="s">
        <v>172</v>
      </c>
      <c r="C16" t="s">
        <v>439</v>
      </c>
      <c r="D16" t="s">
        <v>443</v>
      </c>
      <c r="E16" t="s">
        <v>445</v>
      </c>
      <c r="F16" t="s">
        <v>175</v>
      </c>
      <c r="G16" t="s">
        <v>176</v>
      </c>
      <c r="I16" s="8">
        <v>45541</v>
      </c>
      <c r="J16">
        <v>2</v>
      </c>
      <c r="K16" t="s">
        <v>204</v>
      </c>
      <c r="M16" t="s">
        <v>469</v>
      </c>
    </row>
    <row r="17" spans="1:13" x14ac:dyDescent="0.3">
      <c r="A17" t="s">
        <v>10</v>
      </c>
      <c r="B17" t="s">
        <v>172</v>
      </c>
      <c r="C17" t="s">
        <v>439</v>
      </c>
      <c r="D17" t="s">
        <v>443</v>
      </c>
      <c r="E17" t="s">
        <v>445</v>
      </c>
      <c r="F17" t="s">
        <v>175</v>
      </c>
      <c r="G17" t="s">
        <v>176</v>
      </c>
      <c r="I17" s="8">
        <v>45544</v>
      </c>
      <c r="J17">
        <v>2</v>
      </c>
      <c r="K17" t="s">
        <v>205</v>
      </c>
      <c r="M17" t="s">
        <v>469</v>
      </c>
    </row>
    <row r="18" spans="1:13" x14ac:dyDescent="0.3">
      <c r="A18" t="s">
        <v>10</v>
      </c>
      <c r="B18" t="s">
        <v>11</v>
      </c>
      <c r="C18" t="s">
        <v>14</v>
      </c>
      <c r="D18" t="s">
        <v>17</v>
      </c>
      <c r="E18" t="s">
        <v>20</v>
      </c>
      <c r="F18" t="s">
        <v>12</v>
      </c>
      <c r="G18" t="s">
        <v>13</v>
      </c>
      <c r="H18" t="s">
        <v>15</v>
      </c>
      <c r="I18" s="8">
        <v>45293</v>
      </c>
      <c r="J18">
        <v>42</v>
      </c>
      <c r="K18" t="s">
        <v>206</v>
      </c>
      <c r="L18" t="s">
        <v>103</v>
      </c>
      <c r="M18" t="s">
        <v>188</v>
      </c>
    </row>
    <row r="19" spans="1:13" x14ac:dyDescent="0.3">
      <c r="A19" t="s">
        <v>10</v>
      </c>
      <c r="B19" t="s">
        <v>11</v>
      </c>
      <c r="C19" t="s">
        <v>14</v>
      </c>
      <c r="D19" t="s">
        <v>17</v>
      </c>
      <c r="E19" t="s">
        <v>20</v>
      </c>
      <c r="F19" t="s">
        <v>12</v>
      </c>
      <c r="G19" t="s">
        <v>13</v>
      </c>
      <c r="H19" t="s">
        <v>15</v>
      </c>
      <c r="I19" s="8">
        <v>45294</v>
      </c>
      <c r="J19">
        <v>36</v>
      </c>
      <c r="K19" t="s">
        <v>207</v>
      </c>
      <c r="L19" t="s">
        <v>103</v>
      </c>
      <c r="M19" t="s">
        <v>188</v>
      </c>
    </row>
    <row r="20" spans="1:13" x14ac:dyDescent="0.3">
      <c r="A20" t="s">
        <v>10</v>
      </c>
      <c r="B20" t="s">
        <v>11</v>
      </c>
      <c r="C20" t="s">
        <v>14</v>
      </c>
      <c r="D20" t="s">
        <v>17</v>
      </c>
      <c r="E20" t="s">
        <v>40</v>
      </c>
      <c r="F20" t="s">
        <v>12</v>
      </c>
      <c r="G20" t="s">
        <v>13</v>
      </c>
      <c r="H20" t="s">
        <v>15</v>
      </c>
      <c r="I20" s="8">
        <v>45294</v>
      </c>
      <c r="J20">
        <v>6</v>
      </c>
      <c r="K20" t="s">
        <v>208</v>
      </c>
      <c r="L20" t="s">
        <v>103</v>
      </c>
      <c r="M20" t="s">
        <v>191</v>
      </c>
    </row>
    <row r="21" spans="1:13" x14ac:dyDescent="0.3">
      <c r="A21" t="s">
        <v>10</v>
      </c>
      <c r="B21" t="s">
        <v>11</v>
      </c>
      <c r="C21" t="s">
        <v>14</v>
      </c>
      <c r="D21" t="s">
        <v>17</v>
      </c>
      <c r="E21" t="s">
        <v>40</v>
      </c>
      <c r="F21" t="s">
        <v>12</v>
      </c>
      <c r="G21" t="s">
        <v>13</v>
      </c>
      <c r="H21" t="s">
        <v>15</v>
      </c>
      <c r="I21" s="8">
        <v>45295</v>
      </c>
      <c r="J21">
        <v>42</v>
      </c>
      <c r="K21" t="s">
        <v>209</v>
      </c>
      <c r="L21" t="s">
        <v>103</v>
      </c>
      <c r="M21" t="s">
        <v>191</v>
      </c>
    </row>
    <row r="22" spans="1:13" x14ac:dyDescent="0.3">
      <c r="A22" t="s">
        <v>10</v>
      </c>
      <c r="B22" t="s">
        <v>11</v>
      </c>
      <c r="C22" t="s">
        <v>14</v>
      </c>
      <c r="D22" t="s">
        <v>17</v>
      </c>
      <c r="E22" t="s">
        <v>40</v>
      </c>
      <c r="F22" t="s">
        <v>12</v>
      </c>
      <c r="G22" t="s">
        <v>13</v>
      </c>
      <c r="H22" t="s">
        <v>15</v>
      </c>
      <c r="I22" s="8">
        <v>45296</v>
      </c>
      <c r="J22">
        <v>42</v>
      </c>
      <c r="K22" t="s">
        <v>210</v>
      </c>
      <c r="L22" t="s">
        <v>103</v>
      </c>
      <c r="M22" t="s">
        <v>191</v>
      </c>
    </row>
    <row r="23" spans="1:13" x14ac:dyDescent="0.3">
      <c r="A23" t="s">
        <v>10</v>
      </c>
      <c r="B23" t="s">
        <v>11</v>
      </c>
      <c r="C23" t="s">
        <v>14</v>
      </c>
      <c r="D23" t="s">
        <v>17</v>
      </c>
      <c r="E23" t="s">
        <v>40</v>
      </c>
      <c r="F23" t="s">
        <v>12</v>
      </c>
      <c r="G23" t="s">
        <v>13</v>
      </c>
      <c r="H23" t="s">
        <v>15</v>
      </c>
      <c r="I23" s="8">
        <v>45299</v>
      </c>
      <c r="J23">
        <v>42</v>
      </c>
      <c r="K23" t="s">
        <v>211</v>
      </c>
      <c r="L23" t="s">
        <v>103</v>
      </c>
      <c r="M23" t="s">
        <v>191</v>
      </c>
    </row>
    <row r="24" spans="1:13" x14ac:dyDescent="0.3">
      <c r="A24" t="s">
        <v>10</v>
      </c>
      <c r="B24" t="s">
        <v>11</v>
      </c>
      <c r="C24" t="s">
        <v>14</v>
      </c>
      <c r="D24" t="s">
        <v>17</v>
      </c>
      <c r="E24" t="s">
        <v>40</v>
      </c>
      <c r="F24" t="s">
        <v>12</v>
      </c>
      <c r="G24" t="s">
        <v>13</v>
      </c>
      <c r="H24" t="s">
        <v>15</v>
      </c>
      <c r="I24" s="8">
        <v>45300</v>
      </c>
      <c r="J24">
        <v>42</v>
      </c>
      <c r="K24" t="s">
        <v>213</v>
      </c>
      <c r="L24" t="s">
        <v>103</v>
      </c>
      <c r="M24" t="s">
        <v>191</v>
      </c>
    </row>
    <row r="25" spans="1:13" x14ac:dyDescent="0.3">
      <c r="A25" t="s">
        <v>10</v>
      </c>
      <c r="B25" t="s">
        <v>11</v>
      </c>
      <c r="C25" t="s">
        <v>14</v>
      </c>
      <c r="D25" t="s">
        <v>17</v>
      </c>
      <c r="E25" t="s">
        <v>40</v>
      </c>
      <c r="F25" t="s">
        <v>12</v>
      </c>
      <c r="G25" t="s">
        <v>13</v>
      </c>
      <c r="H25" t="s">
        <v>15</v>
      </c>
      <c r="I25" s="8">
        <v>45301</v>
      </c>
      <c r="J25">
        <v>42</v>
      </c>
      <c r="K25" t="s">
        <v>214</v>
      </c>
      <c r="L25" t="s">
        <v>103</v>
      </c>
      <c r="M25" t="s">
        <v>191</v>
      </c>
    </row>
    <row r="26" spans="1:13" x14ac:dyDescent="0.3">
      <c r="A26" t="s">
        <v>10</v>
      </c>
      <c r="B26" t="s">
        <v>11</v>
      </c>
      <c r="C26" t="s">
        <v>14</v>
      </c>
      <c r="D26" t="s">
        <v>17</v>
      </c>
      <c r="E26" t="s">
        <v>40</v>
      </c>
      <c r="F26" t="s">
        <v>12</v>
      </c>
      <c r="G26" t="s">
        <v>13</v>
      </c>
      <c r="H26" t="s">
        <v>15</v>
      </c>
      <c r="I26" s="8">
        <v>45302</v>
      </c>
      <c r="J26">
        <v>42</v>
      </c>
      <c r="K26" t="s">
        <v>215</v>
      </c>
      <c r="L26" t="s">
        <v>103</v>
      </c>
      <c r="M26" t="s">
        <v>191</v>
      </c>
    </row>
    <row r="27" spans="1:13" x14ac:dyDescent="0.3">
      <c r="A27" t="s">
        <v>10</v>
      </c>
      <c r="B27" t="s">
        <v>11</v>
      </c>
      <c r="C27" t="s">
        <v>14</v>
      </c>
      <c r="D27" t="s">
        <v>17</v>
      </c>
      <c r="E27" t="s">
        <v>40</v>
      </c>
      <c r="F27" t="s">
        <v>12</v>
      </c>
      <c r="G27" t="s">
        <v>13</v>
      </c>
      <c r="H27" t="s">
        <v>15</v>
      </c>
      <c r="I27" s="8">
        <v>45303</v>
      </c>
      <c r="J27">
        <v>42</v>
      </c>
      <c r="K27" t="s">
        <v>216</v>
      </c>
      <c r="L27" t="s">
        <v>103</v>
      </c>
      <c r="M27" t="s">
        <v>191</v>
      </c>
    </row>
    <row r="28" spans="1:13" x14ac:dyDescent="0.3">
      <c r="A28" t="s">
        <v>10</v>
      </c>
      <c r="B28" t="s">
        <v>11</v>
      </c>
      <c r="C28" t="s">
        <v>14</v>
      </c>
      <c r="D28" t="s">
        <v>17</v>
      </c>
      <c r="E28" t="s">
        <v>40</v>
      </c>
      <c r="F28" t="s">
        <v>12</v>
      </c>
      <c r="G28" t="s">
        <v>13</v>
      </c>
      <c r="H28" t="s">
        <v>15</v>
      </c>
      <c r="I28" s="8">
        <v>45306</v>
      </c>
      <c r="J28">
        <v>42</v>
      </c>
      <c r="K28" t="s">
        <v>217</v>
      </c>
      <c r="L28" t="s">
        <v>103</v>
      </c>
      <c r="M28" t="s">
        <v>191</v>
      </c>
    </row>
    <row r="29" spans="1:13" x14ac:dyDescent="0.3">
      <c r="A29" t="s">
        <v>10</v>
      </c>
      <c r="B29" t="s">
        <v>11</v>
      </c>
      <c r="C29" t="s">
        <v>14</v>
      </c>
      <c r="D29" t="s">
        <v>17</v>
      </c>
      <c r="E29" t="s">
        <v>40</v>
      </c>
      <c r="F29" t="s">
        <v>12</v>
      </c>
      <c r="G29" t="s">
        <v>13</v>
      </c>
      <c r="H29" t="s">
        <v>15</v>
      </c>
      <c r="I29" s="8">
        <v>45307</v>
      </c>
      <c r="J29">
        <v>18</v>
      </c>
      <c r="K29" t="s">
        <v>218</v>
      </c>
      <c r="L29" t="s">
        <v>103</v>
      </c>
      <c r="M29" t="s">
        <v>191</v>
      </c>
    </row>
    <row r="30" spans="1:13" x14ac:dyDescent="0.3">
      <c r="A30" t="s">
        <v>10</v>
      </c>
      <c r="B30" t="s">
        <v>11</v>
      </c>
      <c r="C30" t="s">
        <v>14</v>
      </c>
      <c r="D30" t="s">
        <v>17</v>
      </c>
      <c r="E30" t="s">
        <v>41</v>
      </c>
      <c r="F30" t="s">
        <v>12</v>
      </c>
      <c r="G30" t="s">
        <v>13</v>
      </c>
      <c r="H30" t="s">
        <v>15</v>
      </c>
      <c r="I30" s="8">
        <v>45307</v>
      </c>
      <c r="J30">
        <v>24</v>
      </c>
      <c r="K30" t="s">
        <v>219</v>
      </c>
      <c r="L30" t="s">
        <v>103</v>
      </c>
      <c r="M30" t="s">
        <v>202</v>
      </c>
    </row>
    <row r="31" spans="1:13" x14ac:dyDescent="0.3">
      <c r="A31" t="s">
        <v>10</v>
      </c>
      <c r="B31" t="s">
        <v>11</v>
      </c>
      <c r="C31" t="s">
        <v>14</v>
      </c>
      <c r="D31" t="s">
        <v>17</v>
      </c>
      <c r="E31" t="s">
        <v>41</v>
      </c>
      <c r="F31" t="s">
        <v>12</v>
      </c>
      <c r="G31" t="s">
        <v>13</v>
      </c>
      <c r="H31" t="s">
        <v>15</v>
      </c>
      <c r="I31" s="8">
        <v>45308</v>
      </c>
      <c r="J31">
        <v>42</v>
      </c>
      <c r="K31" t="s">
        <v>220</v>
      </c>
      <c r="L31" t="s">
        <v>103</v>
      </c>
      <c r="M31" t="s">
        <v>202</v>
      </c>
    </row>
    <row r="32" spans="1:13" x14ac:dyDescent="0.3">
      <c r="A32" t="s">
        <v>10</v>
      </c>
      <c r="B32" t="s">
        <v>11</v>
      </c>
      <c r="C32" t="s">
        <v>14</v>
      </c>
      <c r="D32" t="s">
        <v>17</v>
      </c>
      <c r="E32" t="s">
        <v>41</v>
      </c>
      <c r="F32" t="s">
        <v>12</v>
      </c>
      <c r="G32" t="s">
        <v>13</v>
      </c>
      <c r="H32" t="s">
        <v>15</v>
      </c>
      <c r="I32" s="8">
        <v>45309</v>
      </c>
      <c r="J32">
        <v>42</v>
      </c>
      <c r="K32" t="s">
        <v>221</v>
      </c>
      <c r="L32" t="s">
        <v>103</v>
      </c>
      <c r="M32" t="s">
        <v>202</v>
      </c>
    </row>
    <row r="33" spans="1:13" x14ac:dyDescent="0.3">
      <c r="A33" t="s">
        <v>10</v>
      </c>
      <c r="B33" t="s">
        <v>11</v>
      </c>
      <c r="C33" t="s">
        <v>14</v>
      </c>
      <c r="D33" t="s">
        <v>17</v>
      </c>
      <c r="E33" t="s">
        <v>41</v>
      </c>
      <c r="F33" t="s">
        <v>12</v>
      </c>
      <c r="G33" t="s">
        <v>13</v>
      </c>
      <c r="H33" t="s">
        <v>15</v>
      </c>
      <c r="I33" s="8">
        <v>45310</v>
      </c>
      <c r="J33">
        <v>42</v>
      </c>
      <c r="K33" t="s">
        <v>223</v>
      </c>
      <c r="L33" t="s">
        <v>103</v>
      </c>
      <c r="M33" t="s">
        <v>202</v>
      </c>
    </row>
    <row r="34" spans="1:13" x14ac:dyDescent="0.3">
      <c r="A34" t="s">
        <v>10</v>
      </c>
      <c r="B34" t="s">
        <v>11</v>
      </c>
      <c r="C34" t="s">
        <v>14</v>
      </c>
      <c r="D34" t="s">
        <v>17</v>
      </c>
      <c r="E34" t="s">
        <v>41</v>
      </c>
      <c r="F34" t="s">
        <v>12</v>
      </c>
      <c r="G34" t="s">
        <v>13</v>
      </c>
      <c r="H34" t="s">
        <v>15</v>
      </c>
      <c r="I34" s="8">
        <v>45313</v>
      </c>
      <c r="J34">
        <v>42</v>
      </c>
      <c r="K34" t="s">
        <v>224</v>
      </c>
      <c r="L34" t="s">
        <v>103</v>
      </c>
      <c r="M34" t="s">
        <v>202</v>
      </c>
    </row>
    <row r="35" spans="1:13" x14ac:dyDescent="0.3">
      <c r="A35" t="s">
        <v>10</v>
      </c>
      <c r="B35" t="s">
        <v>11</v>
      </c>
      <c r="C35" t="s">
        <v>14</v>
      </c>
      <c r="D35" t="s">
        <v>17</v>
      </c>
      <c r="E35" t="s">
        <v>41</v>
      </c>
      <c r="F35" t="s">
        <v>12</v>
      </c>
      <c r="G35" t="s">
        <v>13</v>
      </c>
      <c r="H35" t="s">
        <v>15</v>
      </c>
      <c r="I35" s="8">
        <v>45314</v>
      </c>
      <c r="J35">
        <v>42</v>
      </c>
      <c r="K35" t="s">
        <v>225</v>
      </c>
      <c r="L35" t="s">
        <v>103</v>
      </c>
      <c r="M35" t="s">
        <v>202</v>
      </c>
    </row>
    <row r="36" spans="1:13" x14ac:dyDescent="0.3">
      <c r="A36" t="s">
        <v>10</v>
      </c>
      <c r="B36" t="s">
        <v>11</v>
      </c>
      <c r="C36" t="s">
        <v>14</v>
      </c>
      <c r="D36" t="s">
        <v>17</v>
      </c>
      <c r="E36" t="s">
        <v>41</v>
      </c>
      <c r="F36" t="s">
        <v>12</v>
      </c>
      <c r="G36" t="s">
        <v>13</v>
      </c>
      <c r="H36" t="s">
        <v>15</v>
      </c>
      <c r="I36" s="8">
        <v>45315</v>
      </c>
      <c r="J36">
        <v>42</v>
      </c>
      <c r="K36" t="s">
        <v>226</v>
      </c>
      <c r="L36" t="s">
        <v>103</v>
      </c>
      <c r="M36" t="s">
        <v>202</v>
      </c>
    </row>
    <row r="37" spans="1:13" x14ac:dyDescent="0.3">
      <c r="A37" t="s">
        <v>10</v>
      </c>
      <c r="B37" t="s">
        <v>11</v>
      </c>
      <c r="C37" t="s">
        <v>14</v>
      </c>
      <c r="D37" t="s">
        <v>17</v>
      </c>
      <c r="E37" t="s">
        <v>41</v>
      </c>
      <c r="F37" t="s">
        <v>12</v>
      </c>
      <c r="G37" t="s">
        <v>13</v>
      </c>
      <c r="H37" t="s">
        <v>15</v>
      </c>
      <c r="I37" s="8">
        <v>45316</v>
      </c>
      <c r="J37">
        <v>42</v>
      </c>
      <c r="K37" t="s">
        <v>227</v>
      </c>
      <c r="L37" t="s">
        <v>103</v>
      </c>
      <c r="M37" t="s">
        <v>202</v>
      </c>
    </row>
    <row r="38" spans="1:13" x14ac:dyDescent="0.3">
      <c r="A38" t="s">
        <v>10</v>
      </c>
      <c r="B38" t="s">
        <v>11</v>
      </c>
      <c r="C38" t="s">
        <v>14</v>
      </c>
      <c r="D38" t="s">
        <v>17</v>
      </c>
      <c r="E38" t="s">
        <v>41</v>
      </c>
      <c r="F38" t="s">
        <v>12</v>
      </c>
      <c r="G38" t="s">
        <v>13</v>
      </c>
      <c r="H38" t="s">
        <v>15</v>
      </c>
      <c r="I38" s="8">
        <v>45317</v>
      </c>
      <c r="J38">
        <v>42</v>
      </c>
      <c r="K38" t="s">
        <v>228</v>
      </c>
      <c r="L38" t="s">
        <v>103</v>
      </c>
      <c r="M38" t="s">
        <v>202</v>
      </c>
    </row>
    <row r="39" spans="1:13" x14ac:dyDescent="0.3">
      <c r="A39" t="s">
        <v>10</v>
      </c>
      <c r="B39" t="s">
        <v>11</v>
      </c>
      <c r="C39" t="s">
        <v>14</v>
      </c>
      <c r="D39" t="s">
        <v>17</v>
      </c>
      <c r="E39" t="s">
        <v>42</v>
      </c>
      <c r="F39" t="s">
        <v>12</v>
      </c>
      <c r="G39" t="s">
        <v>13</v>
      </c>
      <c r="H39" t="s">
        <v>15</v>
      </c>
      <c r="I39" s="8">
        <v>45320</v>
      </c>
      <c r="J39">
        <v>42</v>
      </c>
      <c r="K39" t="s">
        <v>229</v>
      </c>
      <c r="L39" t="s">
        <v>103</v>
      </c>
      <c r="M39" t="s">
        <v>212</v>
      </c>
    </row>
    <row r="40" spans="1:13" x14ac:dyDescent="0.3">
      <c r="A40" t="s">
        <v>10</v>
      </c>
      <c r="B40" t="s">
        <v>11</v>
      </c>
      <c r="C40" t="s">
        <v>14</v>
      </c>
      <c r="D40" t="s">
        <v>17</v>
      </c>
      <c r="E40" t="s">
        <v>42</v>
      </c>
      <c r="F40" t="s">
        <v>12</v>
      </c>
      <c r="G40" t="s">
        <v>13</v>
      </c>
      <c r="H40" t="s">
        <v>15</v>
      </c>
      <c r="I40" s="8">
        <v>45321</v>
      </c>
      <c r="J40">
        <v>42</v>
      </c>
      <c r="K40" t="s">
        <v>230</v>
      </c>
      <c r="L40" t="s">
        <v>103</v>
      </c>
      <c r="M40" t="s">
        <v>212</v>
      </c>
    </row>
    <row r="41" spans="1:13" x14ac:dyDescent="0.3">
      <c r="A41" t="s">
        <v>10</v>
      </c>
      <c r="B41" t="s">
        <v>11</v>
      </c>
      <c r="C41" t="s">
        <v>14</v>
      </c>
      <c r="D41" t="s">
        <v>17</v>
      </c>
      <c r="E41" t="s">
        <v>42</v>
      </c>
      <c r="F41" t="s">
        <v>12</v>
      </c>
      <c r="G41" t="s">
        <v>13</v>
      </c>
      <c r="H41" t="s">
        <v>15</v>
      </c>
      <c r="I41" s="8">
        <v>45322</v>
      </c>
      <c r="J41">
        <v>42</v>
      </c>
      <c r="K41" t="s">
        <v>231</v>
      </c>
      <c r="L41" t="s">
        <v>103</v>
      </c>
      <c r="M41" t="s">
        <v>212</v>
      </c>
    </row>
    <row r="42" spans="1:13" x14ac:dyDescent="0.3">
      <c r="A42" t="s">
        <v>10</v>
      </c>
      <c r="B42" t="s">
        <v>11</v>
      </c>
      <c r="C42" t="s">
        <v>14</v>
      </c>
      <c r="D42" t="s">
        <v>17</v>
      </c>
      <c r="E42" t="s">
        <v>42</v>
      </c>
      <c r="F42" t="s">
        <v>12</v>
      </c>
      <c r="G42" t="s">
        <v>13</v>
      </c>
      <c r="H42" t="s">
        <v>15</v>
      </c>
      <c r="I42" s="8">
        <v>45324</v>
      </c>
      <c r="J42">
        <v>24</v>
      </c>
      <c r="K42" t="s">
        <v>233</v>
      </c>
      <c r="L42" t="s">
        <v>103</v>
      </c>
      <c r="M42" t="s">
        <v>212</v>
      </c>
    </row>
    <row r="43" spans="1:13" x14ac:dyDescent="0.3">
      <c r="A43" t="s">
        <v>10</v>
      </c>
      <c r="B43" t="s">
        <v>11</v>
      </c>
      <c r="C43" t="s">
        <v>14</v>
      </c>
      <c r="D43" t="s">
        <v>17</v>
      </c>
      <c r="E43" t="s">
        <v>42</v>
      </c>
      <c r="F43" t="s">
        <v>12</v>
      </c>
      <c r="G43" t="s">
        <v>13</v>
      </c>
      <c r="H43" t="s">
        <v>15</v>
      </c>
      <c r="I43" s="8">
        <v>45327</v>
      </c>
      <c r="J43">
        <v>42</v>
      </c>
      <c r="K43" t="s">
        <v>234</v>
      </c>
      <c r="L43" t="s">
        <v>103</v>
      </c>
      <c r="M43" t="s">
        <v>212</v>
      </c>
    </row>
    <row r="44" spans="1:13" x14ac:dyDescent="0.3">
      <c r="A44" t="s">
        <v>10</v>
      </c>
      <c r="B44" t="s">
        <v>11</v>
      </c>
      <c r="C44" t="s">
        <v>14</v>
      </c>
      <c r="D44" t="s">
        <v>17</v>
      </c>
      <c r="E44" t="s">
        <v>42</v>
      </c>
      <c r="F44" t="s">
        <v>12</v>
      </c>
      <c r="G44" t="s">
        <v>13</v>
      </c>
      <c r="H44" t="s">
        <v>15</v>
      </c>
      <c r="I44" s="8">
        <v>45328</v>
      </c>
      <c r="J44">
        <v>42</v>
      </c>
      <c r="K44" t="s">
        <v>235</v>
      </c>
      <c r="L44" t="s">
        <v>103</v>
      </c>
      <c r="M44" t="s">
        <v>212</v>
      </c>
    </row>
    <row r="45" spans="1:13" x14ac:dyDescent="0.3">
      <c r="A45" t="s">
        <v>10</v>
      </c>
      <c r="B45" t="s">
        <v>11</v>
      </c>
      <c r="C45" t="s">
        <v>14</v>
      </c>
      <c r="D45" t="s">
        <v>17</v>
      </c>
      <c r="E45" t="s">
        <v>42</v>
      </c>
      <c r="F45" t="s">
        <v>12</v>
      </c>
      <c r="G45" t="s">
        <v>13</v>
      </c>
      <c r="H45" t="s">
        <v>15</v>
      </c>
      <c r="I45" s="8">
        <v>45329</v>
      </c>
      <c r="J45">
        <v>42</v>
      </c>
      <c r="K45" t="s">
        <v>236</v>
      </c>
      <c r="L45" t="s">
        <v>103</v>
      </c>
      <c r="M45" t="s">
        <v>212</v>
      </c>
    </row>
    <row r="46" spans="1:13" x14ac:dyDescent="0.3">
      <c r="A46" t="s">
        <v>10</v>
      </c>
      <c r="B46" t="s">
        <v>11</v>
      </c>
      <c r="C46" t="s">
        <v>14</v>
      </c>
      <c r="D46" t="s">
        <v>17</v>
      </c>
      <c r="E46" t="s">
        <v>42</v>
      </c>
      <c r="F46" t="s">
        <v>12</v>
      </c>
      <c r="G46" t="s">
        <v>13</v>
      </c>
      <c r="H46" t="s">
        <v>15</v>
      </c>
      <c r="I46" s="8">
        <v>45330</v>
      </c>
      <c r="J46">
        <v>42</v>
      </c>
      <c r="K46" t="s">
        <v>237</v>
      </c>
      <c r="L46" t="s">
        <v>103</v>
      </c>
      <c r="M46" t="s">
        <v>212</v>
      </c>
    </row>
    <row r="47" spans="1:13" x14ac:dyDescent="0.3">
      <c r="A47" t="s">
        <v>10</v>
      </c>
      <c r="B47" t="s">
        <v>11</v>
      </c>
      <c r="C47" t="s">
        <v>14</v>
      </c>
      <c r="D47" t="s">
        <v>17</v>
      </c>
      <c r="E47" t="s">
        <v>42</v>
      </c>
      <c r="F47" t="s">
        <v>12</v>
      </c>
      <c r="G47" t="s">
        <v>13</v>
      </c>
      <c r="H47" t="s">
        <v>15</v>
      </c>
      <c r="I47" s="8">
        <v>45336</v>
      </c>
      <c r="J47">
        <v>42</v>
      </c>
      <c r="K47" t="s">
        <v>238</v>
      </c>
      <c r="L47" t="s">
        <v>103</v>
      </c>
      <c r="M47" t="s">
        <v>212</v>
      </c>
    </row>
    <row r="48" spans="1:13" x14ac:dyDescent="0.3">
      <c r="A48" t="s">
        <v>10</v>
      </c>
      <c r="B48" t="s">
        <v>11</v>
      </c>
      <c r="C48" t="s">
        <v>14</v>
      </c>
      <c r="D48" t="s">
        <v>17</v>
      </c>
      <c r="E48" t="s">
        <v>43</v>
      </c>
      <c r="F48" t="s">
        <v>12</v>
      </c>
      <c r="G48" t="s">
        <v>13</v>
      </c>
      <c r="H48" t="s">
        <v>15</v>
      </c>
      <c r="I48" s="8">
        <v>45337</v>
      </c>
      <c r="J48">
        <v>42</v>
      </c>
      <c r="K48" t="s">
        <v>239</v>
      </c>
      <c r="L48" t="s">
        <v>103</v>
      </c>
      <c r="M48" t="s">
        <v>222</v>
      </c>
    </row>
    <row r="49" spans="1:13" x14ac:dyDescent="0.3">
      <c r="A49" t="s">
        <v>10</v>
      </c>
      <c r="B49" t="s">
        <v>11</v>
      </c>
      <c r="C49" t="s">
        <v>14</v>
      </c>
      <c r="D49" t="s">
        <v>17</v>
      </c>
      <c r="E49" t="s">
        <v>43</v>
      </c>
      <c r="F49" t="s">
        <v>12</v>
      </c>
      <c r="G49" t="s">
        <v>13</v>
      </c>
      <c r="H49" t="s">
        <v>15</v>
      </c>
      <c r="I49" s="8">
        <v>45338</v>
      </c>
      <c r="J49">
        <v>42</v>
      </c>
      <c r="K49" t="s">
        <v>240</v>
      </c>
      <c r="L49" t="s">
        <v>103</v>
      </c>
      <c r="M49" t="s">
        <v>222</v>
      </c>
    </row>
    <row r="50" spans="1:13" x14ac:dyDescent="0.3">
      <c r="A50" t="s">
        <v>10</v>
      </c>
      <c r="B50" t="s">
        <v>11</v>
      </c>
      <c r="C50" t="s">
        <v>14</v>
      </c>
      <c r="D50" t="s">
        <v>17</v>
      </c>
      <c r="E50" t="s">
        <v>43</v>
      </c>
      <c r="F50" t="s">
        <v>12</v>
      </c>
      <c r="G50" t="s">
        <v>13</v>
      </c>
      <c r="H50" t="s">
        <v>15</v>
      </c>
      <c r="I50" s="8">
        <v>45341</v>
      </c>
      <c r="J50">
        <v>42</v>
      </c>
      <c r="K50" t="s">
        <v>241</v>
      </c>
      <c r="L50" t="s">
        <v>103</v>
      </c>
      <c r="M50" t="s">
        <v>222</v>
      </c>
    </row>
    <row r="51" spans="1:13" x14ac:dyDescent="0.3">
      <c r="A51" t="s">
        <v>10</v>
      </c>
      <c r="B51" t="s">
        <v>11</v>
      </c>
      <c r="C51" t="s">
        <v>14</v>
      </c>
      <c r="D51" t="s">
        <v>17</v>
      </c>
      <c r="E51" t="s">
        <v>43</v>
      </c>
      <c r="F51" t="s">
        <v>12</v>
      </c>
      <c r="G51" t="s">
        <v>13</v>
      </c>
      <c r="H51" t="s">
        <v>15</v>
      </c>
      <c r="I51" s="8">
        <v>45342</v>
      </c>
      <c r="J51">
        <v>36</v>
      </c>
      <c r="K51" t="s">
        <v>242</v>
      </c>
      <c r="L51" t="s">
        <v>103</v>
      </c>
      <c r="M51" t="s">
        <v>222</v>
      </c>
    </row>
    <row r="52" spans="1:13" x14ac:dyDescent="0.3">
      <c r="A52" t="s">
        <v>10</v>
      </c>
      <c r="B52" t="s">
        <v>11</v>
      </c>
      <c r="C52" t="s">
        <v>14</v>
      </c>
      <c r="D52" t="s">
        <v>17</v>
      </c>
      <c r="E52" t="s">
        <v>43</v>
      </c>
      <c r="F52" t="s">
        <v>12</v>
      </c>
      <c r="G52" t="s">
        <v>13</v>
      </c>
      <c r="H52" t="s">
        <v>15</v>
      </c>
      <c r="I52" s="8">
        <v>45345</v>
      </c>
      <c r="J52">
        <v>42</v>
      </c>
      <c r="K52" t="s">
        <v>243</v>
      </c>
      <c r="L52" t="s">
        <v>103</v>
      </c>
      <c r="M52" t="s">
        <v>222</v>
      </c>
    </row>
    <row r="53" spans="1:13" x14ac:dyDescent="0.3">
      <c r="A53" t="s">
        <v>10</v>
      </c>
      <c r="B53" t="s">
        <v>11</v>
      </c>
      <c r="C53" t="s">
        <v>14</v>
      </c>
      <c r="D53" t="s">
        <v>17</v>
      </c>
      <c r="E53" t="s">
        <v>43</v>
      </c>
      <c r="F53" t="s">
        <v>12</v>
      </c>
      <c r="G53" t="s">
        <v>13</v>
      </c>
      <c r="H53" t="s">
        <v>15</v>
      </c>
      <c r="I53" s="8">
        <v>45348</v>
      </c>
      <c r="J53">
        <v>42</v>
      </c>
      <c r="K53" t="s">
        <v>245</v>
      </c>
      <c r="L53" t="s">
        <v>103</v>
      </c>
      <c r="M53" t="s">
        <v>222</v>
      </c>
    </row>
    <row r="54" spans="1:13" x14ac:dyDescent="0.3">
      <c r="A54" t="s">
        <v>10</v>
      </c>
      <c r="B54" t="s">
        <v>11</v>
      </c>
      <c r="C54" t="s">
        <v>14</v>
      </c>
      <c r="D54" t="s">
        <v>17</v>
      </c>
      <c r="E54" t="s">
        <v>43</v>
      </c>
      <c r="F54" t="s">
        <v>12</v>
      </c>
      <c r="G54" t="s">
        <v>13</v>
      </c>
      <c r="H54" t="s">
        <v>15</v>
      </c>
      <c r="I54" s="8">
        <v>45349</v>
      </c>
      <c r="J54">
        <v>42</v>
      </c>
      <c r="K54" t="s">
        <v>246</v>
      </c>
      <c r="L54" t="s">
        <v>103</v>
      </c>
      <c r="M54" t="s">
        <v>222</v>
      </c>
    </row>
    <row r="55" spans="1:13" x14ac:dyDescent="0.3">
      <c r="A55" t="s">
        <v>10</v>
      </c>
      <c r="B55" t="s">
        <v>11</v>
      </c>
      <c r="C55" t="s">
        <v>14</v>
      </c>
      <c r="D55" t="s">
        <v>17</v>
      </c>
      <c r="E55" t="s">
        <v>43</v>
      </c>
      <c r="F55" t="s">
        <v>12</v>
      </c>
      <c r="G55" t="s">
        <v>13</v>
      </c>
      <c r="H55" t="s">
        <v>15</v>
      </c>
      <c r="I55" s="8">
        <v>45350</v>
      </c>
      <c r="J55">
        <v>42</v>
      </c>
      <c r="K55" t="s">
        <v>247</v>
      </c>
      <c r="L55" t="s">
        <v>103</v>
      </c>
      <c r="M55" t="s">
        <v>222</v>
      </c>
    </row>
    <row r="56" spans="1:13" x14ac:dyDescent="0.3">
      <c r="A56" t="s">
        <v>10</v>
      </c>
      <c r="B56" t="s">
        <v>11</v>
      </c>
      <c r="C56" t="s">
        <v>14</v>
      </c>
      <c r="D56" t="s">
        <v>17</v>
      </c>
      <c r="E56" t="s">
        <v>43</v>
      </c>
      <c r="F56" t="s">
        <v>12</v>
      </c>
      <c r="G56" t="s">
        <v>13</v>
      </c>
      <c r="H56" t="s">
        <v>15</v>
      </c>
      <c r="I56" s="8">
        <v>45351</v>
      </c>
      <c r="J56">
        <v>30</v>
      </c>
      <c r="K56" t="s">
        <v>248</v>
      </c>
      <c r="L56" t="s">
        <v>103</v>
      </c>
      <c r="M56" t="s">
        <v>222</v>
      </c>
    </row>
    <row r="57" spans="1:13" x14ac:dyDescent="0.3">
      <c r="A57" t="s">
        <v>10</v>
      </c>
      <c r="B57" t="s">
        <v>11</v>
      </c>
      <c r="C57" t="s">
        <v>14</v>
      </c>
      <c r="D57" t="s">
        <v>17</v>
      </c>
      <c r="E57" t="s">
        <v>44</v>
      </c>
      <c r="F57" t="s">
        <v>12</v>
      </c>
      <c r="G57" t="s">
        <v>13</v>
      </c>
      <c r="H57" t="s">
        <v>15</v>
      </c>
      <c r="I57" s="8">
        <v>45351</v>
      </c>
      <c r="J57">
        <v>12</v>
      </c>
      <c r="K57" t="s">
        <v>249</v>
      </c>
      <c r="L57" t="s">
        <v>103</v>
      </c>
      <c r="M57" t="s">
        <v>232</v>
      </c>
    </row>
    <row r="58" spans="1:13" x14ac:dyDescent="0.3">
      <c r="A58" t="s">
        <v>10</v>
      </c>
      <c r="B58" t="s">
        <v>11</v>
      </c>
      <c r="C58" t="s">
        <v>14</v>
      </c>
      <c r="D58" t="s">
        <v>17</v>
      </c>
      <c r="E58" t="s">
        <v>44</v>
      </c>
      <c r="F58" t="s">
        <v>12</v>
      </c>
      <c r="G58" t="s">
        <v>13</v>
      </c>
      <c r="H58" t="s">
        <v>15</v>
      </c>
      <c r="I58" s="8">
        <v>45356</v>
      </c>
      <c r="J58">
        <v>42</v>
      </c>
      <c r="K58" t="s">
        <v>250</v>
      </c>
      <c r="L58" t="s">
        <v>103</v>
      </c>
      <c r="M58" t="s">
        <v>232</v>
      </c>
    </row>
    <row r="59" spans="1:13" x14ac:dyDescent="0.3">
      <c r="A59" t="s">
        <v>10</v>
      </c>
      <c r="B59" t="s">
        <v>11</v>
      </c>
      <c r="C59" t="s">
        <v>14</v>
      </c>
      <c r="D59" t="s">
        <v>17</v>
      </c>
      <c r="E59" t="s">
        <v>44</v>
      </c>
      <c r="F59" t="s">
        <v>12</v>
      </c>
      <c r="G59" t="s">
        <v>13</v>
      </c>
      <c r="H59" t="s">
        <v>15</v>
      </c>
      <c r="I59" s="8">
        <v>45362</v>
      </c>
      <c r="J59">
        <v>6</v>
      </c>
      <c r="K59" t="s">
        <v>251</v>
      </c>
      <c r="L59" t="s">
        <v>103</v>
      </c>
      <c r="M59" t="s">
        <v>232</v>
      </c>
    </row>
    <row r="60" spans="1:13" x14ac:dyDescent="0.3">
      <c r="A60" t="s">
        <v>10</v>
      </c>
      <c r="B60" t="s">
        <v>11</v>
      </c>
      <c r="C60" t="s">
        <v>14</v>
      </c>
      <c r="D60" t="s">
        <v>17</v>
      </c>
      <c r="E60" t="s">
        <v>44</v>
      </c>
      <c r="F60" t="s">
        <v>12</v>
      </c>
      <c r="G60" t="s">
        <v>13</v>
      </c>
      <c r="H60" t="s">
        <v>15</v>
      </c>
      <c r="I60" s="8">
        <v>45363</v>
      </c>
      <c r="J60">
        <v>42</v>
      </c>
      <c r="K60" t="s">
        <v>252</v>
      </c>
      <c r="L60" t="s">
        <v>103</v>
      </c>
      <c r="M60" t="s">
        <v>232</v>
      </c>
    </row>
    <row r="61" spans="1:13" x14ac:dyDescent="0.3">
      <c r="A61" t="s">
        <v>10</v>
      </c>
      <c r="B61" t="s">
        <v>11</v>
      </c>
      <c r="C61" t="s">
        <v>14</v>
      </c>
      <c r="D61" t="s">
        <v>17</v>
      </c>
      <c r="E61" t="s">
        <v>44</v>
      </c>
      <c r="F61" t="s">
        <v>12</v>
      </c>
      <c r="G61" t="s">
        <v>13</v>
      </c>
      <c r="H61" t="s">
        <v>15</v>
      </c>
      <c r="I61" s="8">
        <v>45364</v>
      </c>
      <c r="J61">
        <v>42</v>
      </c>
      <c r="K61" t="s">
        <v>253</v>
      </c>
      <c r="L61" t="s">
        <v>103</v>
      </c>
      <c r="M61" t="s">
        <v>232</v>
      </c>
    </row>
    <row r="62" spans="1:13" x14ac:dyDescent="0.3">
      <c r="A62" t="s">
        <v>10</v>
      </c>
      <c r="B62" t="s">
        <v>11</v>
      </c>
      <c r="C62" t="s">
        <v>14</v>
      </c>
      <c r="D62" t="s">
        <v>17</v>
      </c>
      <c r="E62" t="s">
        <v>44</v>
      </c>
      <c r="F62" t="s">
        <v>12</v>
      </c>
      <c r="G62" t="s">
        <v>13</v>
      </c>
      <c r="H62" t="s">
        <v>15</v>
      </c>
      <c r="I62" s="8">
        <v>45365</v>
      </c>
      <c r="J62">
        <v>42</v>
      </c>
      <c r="K62" t="s">
        <v>254</v>
      </c>
      <c r="L62" t="s">
        <v>103</v>
      </c>
      <c r="M62" t="s">
        <v>232</v>
      </c>
    </row>
    <row r="63" spans="1:13" x14ac:dyDescent="0.3">
      <c r="A63" t="s">
        <v>10</v>
      </c>
      <c r="B63" t="s">
        <v>11</v>
      </c>
      <c r="C63" t="s">
        <v>14</v>
      </c>
      <c r="D63" t="s">
        <v>17</v>
      </c>
      <c r="E63" t="s">
        <v>44</v>
      </c>
      <c r="F63" t="s">
        <v>12</v>
      </c>
      <c r="G63" t="s">
        <v>13</v>
      </c>
      <c r="H63" t="s">
        <v>15</v>
      </c>
      <c r="I63" s="8">
        <v>45366</v>
      </c>
      <c r="J63">
        <v>42</v>
      </c>
      <c r="K63" t="s">
        <v>255</v>
      </c>
      <c r="L63" t="s">
        <v>103</v>
      </c>
      <c r="M63" t="s">
        <v>232</v>
      </c>
    </row>
    <row r="64" spans="1:13" x14ac:dyDescent="0.3">
      <c r="A64" t="s">
        <v>10</v>
      </c>
      <c r="B64" t="s">
        <v>11</v>
      </c>
      <c r="C64" t="s">
        <v>14</v>
      </c>
      <c r="D64" t="s">
        <v>17</v>
      </c>
      <c r="E64" t="s">
        <v>44</v>
      </c>
      <c r="F64" t="s">
        <v>12</v>
      </c>
      <c r="G64" t="s">
        <v>13</v>
      </c>
      <c r="H64" t="s">
        <v>15</v>
      </c>
      <c r="I64" s="8">
        <v>45369</v>
      </c>
      <c r="J64">
        <v>42</v>
      </c>
      <c r="K64" t="s">
        <v>257</v>
      </c>
      <c r="L64" t="s">
        <v>103</v>
      </c>
      <c r="M64" t="s">
        <v>232</v>
      </c>
    </row>
    <row r="65" spans="1:13" x14ac:dyDescent="0.3">
      <c r="A65" t="s">
        <v>10</v>
      </c>
      <c r="B65" t="s">
        <v>11</v>
      </c>
      <c r="C65" t="s">
        <v>14</v>
      </c>
      <c r="D65" t="s">
        <v>17</v>
      </c>
      <c r="E65" t="s">
        <v>44</v>
      </c>
      <c r="F65" t="s">
        <v>12</v>
      </c>
      <c r="G65" t="s">
        <v>13</v>
      </c>
      <c r="H65" t="s">
        <v>15</v>
      </c>
      <c r="I65" s="8">
        <v>45370</v>
      </c>
      <c r="J65">
        <v>6</v>
      </c>
      <c r="K65" t="s">
        <v>258</v>
      </c>
      <c r="L65" t="s">
        <v>103</v>
      </c>
      <c r="M65" t="s">
        <v>232</v>
      </c>
    </row>
    <row r="66" spans="1:13" x14ac:dyDescent="0.3">
      <c r="A66" t="s">
        <v>10</v>
      </c>
      <c r="B66" t="s">
        <v>11</v>
      </c>
      <c r="C66" t="s">
        <v>14</v>
      </c>
      <c r="D66" t="s">
        <v>17</v>
      </c>
      <c r="E66" t="s">
        <v>44</v>
      </c>
      <c r="F66" t="s">
        <v>12</v>
      </c>
      <c r="G66" t="s">
        <v>13</v>
      </c>
      <c r="H66" t="s">
        <v>15</v>
      </c>
      <c r="I66" s="8">
        <v>45371</v>
      </c>
      <c r="J66">
        <v>42</v>
      </c>
      <c r="K66" t="s">
        <v>259</v>
      </c>
      <c r="L66" t="s">
        <v>103</v>
      </c>
      <c r="M66" t="s">
        <v>232</v>
      </c>
    </row>
    <row r="67" spans="1:13" x14ac:dyDescent="0.3">
      <c r="A67" t="s">
        <v>10</v>
      </c>
      <c r="B67" t="s">
        <v>11</v>
      </c>
      <c r="C67" t="s">
        <v>14</v>
      </c>
      <c r="D67" t="s">
        <v>17</v>
      </c>
      <c r="E67" t="s">
        <v>44</v>
      </c>
      <c r="F67" t="s">
        <v>12</v>
      </c>
      <c r="G67" t="s">
        <v>13</v>
      </c>
      <c r="H67" t="s">
        <v>15</v>
      </c>
      <c r="I67" s="8">
        <v>45372</v>
      </c>
      <c r="J67">
        <v>42</v>
      </c>
      <c r="K67" t="s">
        <v>260</v>
      </c>
      <c r="L67" t="s">
        <v>103</v>
      </c>
      <c r="M67" t="s">
        <v>232</v>
      </c>
    </row>
    <row r="68" spans="1:13" x14ac:dyDescent="0.3">
      <c r="A68" t="s">
        <v>10</v>
      </c>
      <c r="B68" t="s">
        <v>11</v>
      </c>
      <c r="C68" t="s">
        <v>14</v>
      </c>
      <c r="D68" t="s">
        <v>17</v>
      </c>
      <c r="E68" t="s">
        <v>45</v>
      </c>
      <c r="F68" t="s">
        <v>12</v>
      </c>
      <c r="G68" t="s">
        <v>13</v>
      </c>
      <c r="H68" t="s">
        <v>15</v>
      </c>
      <c r="I68" s="8">
        <v>45372</v>
      </c>
      <c r="J68">
        <v>21</v>
      </c>
      <c r="K68" t="s">
        <v>261</v>
      </c>
      <c r="L68" t="s">
        <v>103</v>
      </c>
      <c r="M68" t="s">
        <v>244</v>
      </c>
    </row>
    <row r="69" spans="1:13" x14ac:dyDescent="0.3">
      <c r="A69" t="s">
        <v>10</v>
      </c>
      <c r="B69" t="s">
        <v>11</v>
      </c>
      <c r="C69" t="s">
        <v>14</v>
      </c>
      <c r="D69" t="s">
        <v>17</v>
      </c>
      <c r="E69" t="s">
        <v>45</v>
      </c>
      <c r="F69" t="s">
        <v>12</v>
      </c>
      <c r="G69" t="s">
        <v>13</v>
      </c>
      <c r="H69" t="s">
        <v>15</v>
      </c>
      <c r="I69" s="8">
        <v>45373</v>
      </c>
      <c r="J69">
        <v>42</v>
      </c>
      <c r="K69" t="s">
        <v>262</v>
      </c>
      <c r="L69" t="s">
        <v>103</v>
      </c>
      <c r="M69" t="s">
        <v>244</v>
      </c>
    </row>
    <row r="70" spans="1:13" x14ac:dyDescent="0.3">
      <c r="A70" t="s">
        <v>10</v>
      </c>
      <c r="B70" t="s">
        <v>11</v>
      </c>
      <c r="C70" t="s">
        <v>14</v>
      </c>
      <c r="D70" t="s">
        <v>17</v>
      </c>
      <c r="E70" t="s">
        <v>45</v>
      </c>
      <c r="F70" t="s">
        <v>12</v>
      </c>
      <c r="G70" t="s">
        <v>13</v>
      </c>
      <c r="H70" t="s">
        <v>15</v>
      </c>
      <c r="I70" s="8">
        <v>45376</v>
      </c>
      <c r="J70">
        <v>42</v>
      </c>
      <c r="K70" t="s">
        <v>263</v>
      </c>
      <c r="L70" t="s">
        <v>103</v>
      </c>
      <c r="M70" t="s">
        <v>244</v>
      </c>
    </row>
    <row r="71" spans="1:13" x14ac:dyDescent="0.3">
      <c r="A71" t="s">
        <v>10</v>
      </c>
      <c r="B71" t="s">
        <v>11</v>
      </c>
      <c r="C71" t="s">
        <v>14</v>
      </c>
      <c r="D71" t="s">
        <v>17</v>
      </c>
      <c r="E71" t="s">
        <v>45</v>
      </c>
      <c r="F71" t="s">
        <v>12</v>
      </c>
      <c r="G71" t="s">
        <v>13</v>
      </c>
      <c r="H71" t="s">
        <v>15</v>
      </c>
      <c r="I71" s="8">
        <v>45377</v>
      </c>
      <c r="J71">
        <v>42</v>
      </c>
      <c r="K71" t="s">
        <v>265</v>
      </c>
      <c r="L71" t="s">
        <v>103</v>
      </c>
      <c r="M71" t="s">
        <v>244</v>
      </c>
    </row>
    <row r="72" spans="1:13" x14ac:dyDescent="0.3">
      <c r="A72" t="s">
        <v>10</v>
      </c>
      <c r="B72" t="s">
        <v>11</v>
      </c>
      <c r="C72" t="s">
        <v>14</v>
      </c>
      <c r="D72" t="s">
        <v>17</v>
      </c>
      <c r="E72" t="s">
        <v>45</v>
      </c>
      <c r="F72" t="s">
        <v>12</v>
      </c>
      <c r="G72" t="s">
        <v>13</v>
      </c>
      <c r="H72" t="s">
        <v>15</v>
      </c>
      <c r="I72" s="8">
        <v>45378</v>
      </c>
      <c r="J72">
        <v>42</v>
      </c>
      <c r="K72" t="s">
        <v>266</v>
      </c>
      <c r="L72" t="s">
        <v>103</v>
      </c>
      <c r="M72" t="s">
        <v>244</v>
      </c>
    </row>
    <row r="73" spans="1:13" x14ac:dyDescent="0.3">
      <c r="A73" t="s">
        <v>10</v>
      </c>
      <c r="B73" t="s">
        <v>11</v>
      </c>
      <c r="C73" t="s">
        <v>14</v>
      </c>
      <c r="D73" t="s">
        <v>17</v>
      </c>
      <c r="E73" t="s">
        <v>45</v>
      </c>
      <c r="F73" t="s">
        <v>12</v>
      </c>
      <c r="G73" t="s">
        <v>13</v>
      </c>
      <c r="H73" t="s">
        <v>15</v>
      </c>
      <c r="I73" s="8">
        <v>45379</v>
      </c>
      <c r="J73">
        <v>42</v>
      </c>
      <c r="K73" t="s">
        <v>267</v>
      </c>
      <c r="L73" t="s">
        <v>103</v>
      </c>
      <c r="M73" t="s">
        <v>244</v>
      </c>
    </row>
    <row r="74" spans="1:13" x14ac:dyDescent="0.3">
      <c r="A74" t="s">
        <v>10</v>
      </c>
      <c r="B74" t="s">
        <v>11</v>
      </c>
      <c r="C74" t="s">
        <v>14</v>
      </c>
      <c r="D74" t="s">
        <v>17</v>
      </c>
      <c r="E74" t="s">
        <v>45</v>
      </c>
      <c r="F74" t="s">
        <v>12</v>
      </c>
      <c r="G74" t="s">
        <v>13</v>
      </c>
      <c r="H74" t="s">
        <v>15</v>
      </c>
      <c r="I74" s="8">
        <v>45380</v>
      </c>
      <c r="J74">
        <v>42</v>
      </c>
      <c r="K74" t="s">
        <v>268</v>
      </c>
      <c r="L74" t="s">
        <v>103</v>
      </c>
      <c r="M74" t="s">
        <v>244</v>
      </c>
    </row>
    <row r="75" spans="1:13" x14ac:dyDescent="0.3">
      <c r="A75" t="s">
        <v>10</v>
      </c>
      <c r="B75" t="s">
        <v>11</v>
      </c>
      <c r="C75" t="s">
        <v>14</v>
      </c>
      <c r="D75" t="s">
        <v>17</v>
      </c>
      <c r="E75" t="s">
        <v>45</v>
      </c>
      <c r="F75" t="s">
        <v>12</v>
      </c>
      <c r="G75" t="s">
        <v>13</v>
      </c>
      <c r="H75" t="s">
        <v>15</v>
      </c>
      <c r="I75" s="8">
        <v>45385</v>
      </c>
      <c r="J75">
        <v>42</v>
      </c>
      <c r="K75" t="s">
        <v>269</v>
      </c>
      <c r="L75" t="s">
        <v>103</v>
      </c>
      <c r="M75" t="s">
        <v>244</v>
      </c>
    </row>
    <row r="76" spans="1:13" x14ac:dyDescent="0.3">
      <c r="A76" t="s">
        <v>10</v>
      </c>
      <c r="B76" t="s">
        <v>11</v>
      </c>
      <c r="C76" t="s">
        <v>14</v>
      </c>
      <c r="D76" t="s">
        <v>17</v>
      </c>
      <c r="E76" t="s">
        <v>45</v>
      </c>
      <c r="F76" t="s">
        <v>12</v>
      </c>
      <c r="G76" t="s">
        <v>13</v>
      </c>
      <c r="H76" t="s">
        <v>15</v>
      </c>
      <c r="I76" s="8">
        <v>45386</v>
      </c>
      <c r="J76">
        <v>42</v>
      </c>
      <c r="K76" t="s">
        <v>270</v>
      </c>
      <c r="L76" t="s">
        <v>103</v>
      </c>
      <c r="M76" t="s">
        <v>244</v>
      </c>
    </row>
    <row r="77" spans="1:13" x14ac:dyDescent="0.3">
      <c r="A77" t="s">
        <v>10</v>
      </c>
      <c r="B77" t="s">
        <v>11</v>
      </c>
      <c r="C77" t="s">
        <v>14</v>
      </c>
      <c r="D77" t="s">
        <v>17</v>
      </c>
      <c r="E77" t="s">
        <v>45</v>
      </c>
      <c r="F77" t="s">
        <v>12</v>
      </c>
      <c r="G77" t="s">
        <v>13</v>
      </c>
      <c r="H77" t="s">
        <v>15</v>
      </c>
      <c r="I77" s="8">
        <v>45387</v>
      </c>
      <c r="J77">
        <v>40</v>
      </c>
      <c r="K77" t="s">
        <v>271</v>
      </c>
      <c r="L77" t="s">
        <v>103</v>
      </c>
      <c r="M77" t="s">
        <v>244</v>
      </c>
    </row>
    <row r="78" spans="1:13" x14ac:dyDescent="0.3">
      <c r="A78" t="s">
        <v>10</v>
      </c>
      <c r="B78" t="s">
        <v>11</v>
      </c>
      <c r="C78" t="s">
        <v>14</v>
      </c>
      <c r="D78" t="s">
        <v>17</v>
      </c>
      <c r="E78" t="s">
        <v>45</v>
      </c>
      <c r="F78" t="s">
        <v>12</v>
      </c>
      <c r="G78" t="s">
        <v>13</v>
      </c>
      <c r="H78" t="s">
        <v>15</v>
      </c>
      <c r="I78" s="8">
        <v>45390</v>
      </c>
      <c r="J78">
        <v>23</v>
      </c>
      <c r="K78" t="s">
        <v>272</v>
      </c>
      <c r="L78" t="s">
        <v>103</v>
      </c>
      <c r="M78" t="s">
        <v>244</v>
      </c>
    </row>
    <row r="79" spans="1:13" ht="66" x14ac:dyDescent="0.3">
      <c r="A79" t="s">
        <v>10</v>
      </c>
      <c r="B79" t="s">
        <v>11</v>
      </c>
      <c r="C79" t="s">
        <v>46</v>
      </c>
      <c r="D79" t="s">
        <v>47</v>
      </c>
      <c r="E79" t="s">
        <v>48</v>
      </c>
      <c r="F79" t="s">
        <v>12</v>
      </c>
      <c r="G79" t="s">
        <v>13</v>
      </c>
      <c r="H79" s="7" t="s">
        <v>161</v>
      </c>
      <c r="I79" s="8">
        <v>45357</v>
      </c>
      <c r="J79">
        <v>36</v>
      </c>
      <c r="K79" t="s">
        <v>273</v>
      </c>
      <c r="L79" t="s">
        <v>103</v>
      </c>
      <c r="M79" t="s">
        <v>256</v>
      </c>
    </row>
    <row r="80" spans="1:13" ht="66" x14ac:dyDescent="0.3">
      <c r="A80" t="s">
        <v>10</v>
      </c>
      <c r="B80" t="s">
        <v>11</v>
      </c>
      <c r="C80" t="s">
        <v>46</v>
      </c>
      <c r="D80" t="s">
        <v>47</v>
      </c>
      <c r="E80" t="s">
        <v>48</v>
      </c>
      <c r="F80" t="s">
        <v>12</v>
      </c>
      <c r="G80" t="s">
        <v>13</v>
      </c>
      <c r="H80" s="7" t="s">
        <v>161</v>
      </c>
      <c r="I80" s="8">
        <v>45358</v>
      </c>
      <c r="J80">
        <v>42</v>
      </c>
      <c r="K80" t="s">
        <v>274</v>
      </c>
      <c r="L80" t="s">
        <v>103</v>
      </c>
      <c r="M80" t="s">
        <v>256</v>
      </c>
    </row>
    <row r="81" spans="1:13" ht="66" x14ac:dyDescent="0.3">
      <c r="A81" t="s">
        <v>10</v>
      </c>
      <c r="B81" t="s">
        <v>11</v>
      </c>
      <c r="C81" t="s">
        <v>46</v>
      </c>
      <c r="D81" t="s">
        <v>47</v>
      </c>
      <c r="E81" t="s">
        <v>48</v>
      </c>
      <c r="F81" t="s">
        <v>12</v>
      </c>
      <c r="G81" t="s">
        <v>13</v>
      </c>
      <c r="H81" s="7" t="s">
        <v>161</v>
      </c>
      <c r="I81" s="8">
        <v>45359</v>
      </c>
      <c r="J81">
        <v>42</v>
      </c>
      <c r="K81" t="s">
        <v>275</v>
      </c>
      <c r="L81" t="s">
        <v>103</v>
      </c>
      <c r="M81" t="s">
        <v>256</v>
      </c>
    </row>
    <row r="82" spans="1:13" ht="66" x14ac:dyDescent="0.3">
      <c r="A82" t="s">
        <v>10</v>
      </c>
      <c r="B82" t="s">
        <v>11</v>
      </c>
      <c r="C82" t="s">
        <v>46</v>
      </c>
      <c r="D82" t="s">
        <v>47</v>
      </c>
      <c r="E82" t="s">
        <v>48</v>
      </c>
      <c r="F82" t="s">
        <v>12</v>
      </c>
      <c r="G82" t="s">
        <v>13</v>
      </c>
      <c r="H82" s="7" t="s">
        <v>161</v>
      </c>
      <c r="I82" s="8">
        <v>45362</v>
      </c>
      <c r="J82">
        <v>36</v>
      </c>
      <c r="K82" t="s">
        <v>276</v>
      </c>
      <c r="L82" t="s">
        <v>103</v>
      </c>
      <c r="M82" t="s">
        <v>256</v>
      </c>
    </row>
    <row r="83" spans="1:13" x14ac:dyDescent="0.3">
      <c r="A83" t="s">
        <v>10</v>
      </c>
      <c r="B83" t="s">
        <v>11</v>
      </c>
      <c r="C83" t="s">
        <v>46</v>
      </c>
      <c r="D83" t="s">
        <v>47</v>
      </c>
      <c r="E83" t="s">
        <v>48</v>
      </c>
      <c r="F83" t="s">
        <v>12</v>
      </c>
      <c r="G83" t="s">
        <v>13</v>
      </c>
      <c r="H83" t="s">
        <v>16</v>
      </c>
      <c r="I83" s="8">
        <v>45342</v>
      </c>
      <c r="J83">
        <v>6</v>
      </c>
      <c r="K83" t="s">
        <v>277</v>
      </c>
      <c r="L83" t="s">
        <v>103</v>
      </c>
      <c r="M83" t="s">
        <v>256</v>
      </c>
    </row>
    <row r="84" spans="1:13" x14ac:dyDescent="0.3">
      <c r="A84" t="s">
        <v>10</v>
      </c>
      <c r="B84" t="s">
        <v>11</v>
      </c>
      <c r="C84" t="s">
        <v>46</v>
      </c>
      <c r="D84" t="s">
        <v>47</v>
      </c>
      <c r="E84" t="s">
        <v>48</v>
      </c>
      <c r="F84" t="s">
        <v>12</v>
      </c>
      <c r="G84" t="s">
        <v>13</v>
      </c>
      <c r="H84" t="s">
        <v>16</v>
      </c>
      <c r="I84" s="8">
        <v>45343</v>
      </c>
      <c r="J84">
        <v>42</v>
      </c>
      <c r="K84" t="s">
        <v>278</v>
      </c>
      <c r="L84" t="s">
        <v>103</v>
      </c>
      <c r="M84" t="s">
        <v>256</v>
      </c>
    </row>
    <row r="85" spans="1:13" x14ac:dyDescent="0.3">
      <c r="A85" t="s">
        <v>10</v>
      </c>
      <c r="B85" t="s">
        <v>11</v>
      </c>
      <c r="C85" t="s">
        <v>46</v>
      </c>
      <c r="D85" t="s">
        <v>47</v>
      </c>
      <c r="E85" t="s">
        <v>48</v>
      </c>
      <c r="F85" t="s">
        <v>12</v>
      </c>
      <c r="G85" t="s">
        <v>13</v>
      </c>
      <c r="H85" t="s">
        <v>16</v>
      </c>
      <c r="I85" s="8">
        <v>45344</v>
      </c>
      <c r="J85">
        <v>36</v>
      </c>
      <c r="K85" t="s">
        <v>279</v>
      </c>
      <c r="L85" t="s">
        <v>103</v>
      </c>
      <c r="M85" t="s">
        <v>256</v>
      </c>
    </row>
    <row r="86" spans="1:13" x14ac:dyDescent="0.3">
      <c r="A86" t="s">
        <v>10</v>
      </c>
      <c r="B86" t="s">
        <v>11</v>
      </c>
      <c r="C86" t="s">
        <v>163</v>
      </c>
      <c r="D86" t="s">
        <v>61</v>
      </c>
      <c r="E86" t="s">
        <v>157</v>
      </c>
      <c r="F86" t="s">
        <v>12</v>
      </c>
      <c r="G86" t="s">
        <v>13</v>
      </c>
      <c r="H86" t="s">
        <v>15</v>
      </c>
      <c r="I86" s="8">
        <v>45390</v>
      </c>
      <c r="J86">
        <v>15</v>
      </c>
      <c r="K86" t="s">
        <v>280</v>
      </c>
      <c r="L86" t="s">
        <v>103</v>
      </c>
      <c r="M86" t="s">
        <v>264</v>
      </c>
    </row>
    <row r="87" spans="1:13" x14ac:dyDescent="0.3">
      <c r="A87" t="s">
        <v>10</v>
      </c>
      <c r="B87" t="s">
        <v>11</v>
      </c>
      <c r="C87" t="s">
        <v>163</v>
      </c>
      <c r="D87" t="s">
        <v>61</v>
      </c>
      <c r="E87" t="s">
        <v>157</v>
      </c>
      <c r="F87" t="s">
        <v>12</v>
      </c>
      <c r="G87" t="s">
        <v>13</v>
      </c>
      <c r="H87" t="s">
        <v>15</v>
      </c>
      <c r="I87" s="8">
        <v>45391</v>
      </c>
      <c r="J87">
        <v>36</v>
      </c>
      <c r="K87" t="s">
        <v>281</v>
      </c>
      <c r="L87" t="s">
        <v>103</v>
      </c>
      <c r="M87" t="s">
        <v>264</v>
      </c>
    </row>
    <row r="88" spans="1:13" x14ac:dyDescent="0.3">
      <c r="A88" t="s">
        <v>10</v>
      </c>
      <c r="B88" t="s">
        <v>11</v>
      </c>
      <c r="C88" t="s">
        <v>163</v>
      </c>
      <c r="D88" t="s">
        <v>61</v>
      </c>
      <c r="E88" t="s">
        <v>157</v>
      </c>
      <c r="F88" t="s">
        <v>12</v>
      </c>
      <c r="G88" t="s">
        <v>13</v>
      </c>
      <c r="H88" t="s">
        <v>15</v>
      </c>
      <c r="I88" s="8">
        <v>45397</v>
      </c>
      <c r="J88">
        <v>40</v>
      </c>
      <c r="K88" t="s">
        <v>282</v>
      </c>
      <c r="L88" t="s">
        <v>103</v>
      </c>
      <c r="M88" t="s">
        <v>264</v>
      </c>
    </row>
    <row r="89" spans="1:13" x14ac:dyDescent="0.3">
      <c r="A89" t="s">
        <v>10</v>
      </c>
      <c r="B89" t="s">
        <v>11</v>
      </c>
      <c r="C89" t="s">
        <v>163</v>
      </c>
      <c r="D89" t="s">
        <v>61</v>
      </c>
      <c r="E89" t="s">
        <v>157</v>
      </c>
      <c r="F89" t="s">
        <v>12</v>
      </c>
      <c r="G89" t="s">
        <v>13</v>
      </c>
      <c r="H89" t="s">
        <v>15</v>
      </c>
      <c r="I89" s="8">
        <v>45398</v>
      </c>
      <c r="J89">
        <v>40</v>
      </c>
      <c r="K89" t="s">
        <v>283</v>
      </c>
      <c r="L89" t="s">
        <v>103</v>
      </c>
      <c r="M89" t="s">
        <v>264</v>
      </c>
    </row>
    <row r="90" spans="1:13" x14ac:dyDescent="0.3">
      <c r="A90" t="s">
        <v>10</v>
      </c>
      <c r="B90" t="s">
        <v>11</v>
      </c>
      <c r="C90" t="s">
        <v>163</v>
      </c>
      <c r="D90" t="s">
        <v>61</v>
      </c>
      <c r="E90" t="s">
        <v>157</v>
      </c>
      <c r="F90" t="s">
        <v>12</v>
      </c>
      <c r="G90" t="s">
        <v>13</v>
      </c>
      <c r="H90" t="s">
        <v>15</v>
      </c>
      <c r="I90" s="8">
        <v>45399</v>
      </c>
      <c r="J90">
        <v>40</v>
      </c>
      <c r="K90" t="s">
        <v>284</v>
      </c>
      <c r="L90" t="s">
        <v>103</v>
      </c>
      <c r="M90" t="s">
        <v>264</v>
      </c>
    </row>
    <row r="91" spans="1:13" x14ac:dyDescent="0.3">
      <c r="A91" t="s">
        <v>10</v>
      </c>
      <c r="B91" t="s">
        <v>11</v>
      </c>
      <c r="C91" t="s">
        <v>163</v>
      </c>
      <c r="D91" t="s">
        <v>61</v>
      </c>
      <c r="E91" t="s">
        <v>157</v>
      </c>
      <c r="F91" t="s">
        <v>12</v>
      </c>
      <c r="G91" t="s">
        <v>13</v>
      </c>
      <c r="H91" t="s">
        <v>15</v>
      </c>
      <c r="I91" s="8">
        <v>45400</v>
      </c>
      <c r="J91">
        <v>40</v>
      </c>
      <c r="K91" t="s">
        <v>286</v>
      </c>
      <c r="L91" t="s">
        <v>103</v>
      </c>
      <c r="M91" t="s">
        <v>264</v>
      </c>
    </row>
    <row r="92" spans="1:13" x14ac:dyDescent="0.3">
      <c r="A92" t="s">
        <v>10</v>
      </c>
      <c r="B92" t="s">
        <v>11</v>
      </c>
      <c r="C92" t="s">
        <v>163</v>
      </c>
      <c r="D92" t="s">
        <v>61</v>
      </c>
      <c r="E92" t="s">
        <v>157</v>
      </c>
      <c r="F92" t="s">
        <v>12</v>
      </c>
      <c r="G92" t="s">
        <v>13</v>
      </c>
      <c r="H92" t="s">
        <v>15</v>
      </c>
      <c r="I92" s="8">
        <v>45401</v>
      </c>
      <c r="J92">
        <v>40</v>
      </c>
      <c r="K92" t="s">
        <v>288</v>
      </c>
      <c r="L92" t="s">
        <v>103</v>
      </c>
      <c r="M92" t="s">
        <v>264</v>
      </c>
    </row>
    <row r="93" spans="1:13" x14ac:dyDescent="0.3">
      <c r="A93" t="s">
        <v>10</v>
      </c>
      <c r="B93" t="s">
        <v>11</v>
      </c>
      <c r="C93" t="s">
        <v>163</v>
      </c>
      <c r="D93" t="s">
        <v>61</v>
      </c>
      <c r="E93" t="s">
        <v>157</v>
      </c>
      <c r="F93" t="s">
        <v>12</v>
      </c>
      <c r="G93" t="s">
        <v>13</v>
      </c>
      <c r="H93" t="s">
        <v>15</v>
      </c>
      <c r="I93" s="8">
        <v>45404</v>
      </c>
      <c r="J93">
        <v>40</v>
      </c>
      <c r="K93" t="s">
        <v>290</v>
      </c>
      <c r="L93" t="s">
        <v>103</v>
      </c>
      <c r="M93" t="s">
        <v>264</v>
      </c>
    </row>
    <row r="94" spans="1:13" x14ac:dyDescent="0.3">
      <c r="A94" t="s">
        <v>10</v>
      </c>
      <c r="B94" t="s">
        <v>11</v>
      </c>
      <c r="C94" t="s">
        <v>163</v>
      </c>
      <c r="D94" t="s">
        <v>61</v>
      </c>
      <c r="E94" t="s">
        <v>157</v>
      </c>
      <c r="F94" t="s">
        <v>12</v>
      </c>
      <c r="G94" t="s">
        <v>13</v>
      </c>
      <c r="H94" t="s">
        <v>15</v>
      </c>
      <c r="I94" s="8">
        <v>45405</v>
      </c>
      <c r="J94">
        <v>40</v>
      </c>
      <c r="K94" t="s">
        <v>292</v>
      </c>
      <c r="L94" t="s">
        <v>103</v>
      </c>
      <c r="M94" t="s">
        <v>264</v>
      </c>
    </row>
    <row r="95" spans="1:13" x14ac:dyDescent="0.3">
      <c r="A95" t="s">
        <v>10</v>
      </c>
      <c r="B95" t="s">
        <v>11</v>
      </c>
      <c r="C95" t="s">
        <v>163</v>
      </c>
      <c r="D95" t="s">
        <v>61</v>
      </c>
      <c r="E95" t="s">
        <v>157</v>
      </c>
      <c r="F95" t="s">
        <v>12</v>
      </c>
      <c r="G95" t="s">
        <v>13</v>
      </c>
      <c r="H95" t="s">
        <v>15</v>
      </c>
      <c r="I95" s="8">
        <v>45406</v>
      </c>
      <c r="J95">
        <v>40</v>
      </c>
      <c r="K95" t="s">
        <v>294</v>
      </c>
      <c r="L95" t="s">
        <v>103</v>
      </c>
      <c r="M95" t="s">
        <v>264</v>
      </c>
    </row>
    <row r="96" spans="1:13" x14ac:dyDescent="0.3">
      <c r="A96" t="s">
        <v>10</v>
      </c>
      <c r="B96" t="s">
        <v>11</v>
      </c>
      <c r="C96" t="s">
        <v>163</v>
      </c>
      <c r="D96" t="s">
        <v>61</v>
      </c>
      <c r="E96" t="s">
        <v>157</v>
      </c>
      <c r="F96" t="s">
        <v>12</v>
      </c>
      <c r="G96" t="s">
        <v>13</v>
      </c>
      <c r="H96" t="s">
        <v>15</v>
      </c>
      <c r="I96" s="8">
        <v>45407</v>
      </c>
      <c r="J96">
        <v>40</v>
      </c>
      <c r="K96" t="s">
        <v>296</v>
      </c>
      <c r="L96" t="s">
        <v>103</v>
      </c>
      <c r="M96" t="s">
        <v>264</v>
      </c>
    </row>
    <row r="97" spans="1:13" x14ac:dyDescent="0.3">
      <c r="A97" t="s">
        <v>10</v>
      </c>
      <c r="B97" t="s">
        <v>11</v>
      </c>
      <c r="C97" t="s">
        <v>163</v>
      </c>
      <c r="D97" t="s">
        <v>61</v>
      </c>
      <c r="E97" t="s">
        <v>157</v>
      </c>
      <c r="F97" t="s">
        <v>12</v>
      </c>
      <c r="G97" t="s">
        <v>13</v>
      </c>
      <c r="H97" t="s">
        <v>15</v>
      </c>
      <c r="I97" s="8">
        <v>45408</v>
      </c>
      <c r="J97">
        <v>40</v>
      </c>
      <c r="K97" t="s">
        <v>297</v>
      </c>
      <c r="L97" t="s">
        <v>103</v>
      </c>
      <c r="M97" t="s">
        <v>264</v>
      </c>
    </row>
    <row r="98" spans="1:13" x14ac:dyDescent="0.3">
      <c r="A98" t="s">
        <v>10</v>
      </c>
      <c r="B98" t="s">
        <v>11</v>
      </c>
      <c r="C98" t="s">
        <v>163</v>
      </c>
      <c r="D98" t="s">
        <v>61</v>
      </c>
      <c r="E98" t="s">
        <v>157</v>
      </c>
      <c r="F98" t="s">
        <v>12</v>
      </c>
      <c r="G98" t="s">
        <v>13</v>
      </c>
      <c r="H98" t="s">
        <v>15</v>
      </c>
      <c r="I98" s="8">
        <v>45411</v>
      </c>
      <c r="J98">
        <v>18</v>
      </c>
      <c r="K98" t="s">
        <v>299</v>
      </c>
      <c r="L98" t="s">
        <v>103</v>
      </c>
      <c r="M98" t="s">
        <v>264</v>
      </c>
    </row>
    <row r="99" spans="1:13" x14ac:dyDescent="0.3">
      <c r="A99" t="s">
        <v>10</v>
      </c>
      <c r="B99" t="s">
        <v>11</v>
      </c>
      <c r="C99" t="s">
        <v>163</v>
      </c>
      <c r="D99" t="s">
        <v>61</v>
      </c>
      <c r="E99" t="s">
        <v>157</v>
      </c>
      <c r="F99" t="s">
        <v>12</v>
      </c>
      <c r="G99" t="s">
        <v>13</v>
      </c>
      <c r="H99" t="s">
        <v>15</v>
      </c>
      <c r="I99" s="8">
        <v>45419</v>
      </c>
      <c r="J99">
        <v>11</v>
      </c>
      <c r="K99" t="s">
        <v>300</v>
      </c>
      <c r="L99" t="s">
        <v>103</v>
      </c>
      <c r="M99" t="s">
        <v>264</v>
      </c>
    </row>
    <row r="100" spans="1:13" x14ac:dyDescent="0.3">
      <c r="A100" t="s">
        <v>10</v>
      </c>
      <c r="B100" t="s">
        <v>11</v>
      </c>
      <c r="C100" t="s">
        <v>163</v>
      </c>
      <c r="D100" t="s">
        <v>61</v>
      </c>
      <c r="E100" t="s">
        <v>157</v>
      </c>
      <c r="F100" t="s">
        <v>12</v>
      </c>
      <c r="G100" t="s">
        <v>13</v>
      </c>
      <c r="H100" t="s">
        <v>15</v>
      </c>
      <c r="I100" s="8">
        <v>45432</v>
      </c>
      <c r="J100">
        <v>21</v>
      </c>
      <c r="K100" t="s">
        <v>301</v>
      </c>
      <c r="L100" t="s">
        <v>103</v>
      </c>
      <c r="M100" t="s">
        <v>264</v>
      </c>
    </row>
    <row r="101" spans="1:13" x14ac:dyDescent="0.3">
      <c r="A101" t="s">
        <v>10</v>
      </c>
      <c r="B101" t="s">
        <v>11</v>
      </c>
      <c r="C101" t="s">
        <v>163</v>
      </c>
      <c r="D101" t="s">
        <v>61</v>
      </c>
      <c r="E101" t="s">
        <v>157</v>
      </c>
      <c r="F101" t="s">
        <v>12</v>
      </c>
      <c r="G101" t="s">
        <v>13</v>
      </c>
      <c r="H101" t="s">
        <v>15</v>
      </c>
      <c r="I101" s="8">
        <v>45433</v>
      </c>
      <c r="J101">
        <v>21</v>
      </c>
      <c r="K101" t="s">
        <v>302</v>
      </c>
      <c r="L101" t="s">
        <v>103</v>
      </c>
      <c r="M101" t="s">
        <v>264</v>
      </c>
    </row>
    <row r="102" spans="1:13" x14ac:dyDescent="0.3">
      <c r="A102" t="s">
        <v>10</v>
      </c>
      <c r="B102" t="s">
        <v>11</v>
      </c>
      <c r="C102" t="s">
        <v>163</v>
      </c>
      <c r="D102" t="s">
        <v>61</v>
      </c>
      <c r="E102" t="s">
        <v>157</v>
      </c>
      <c r="F102" t="s">
        <v>12</v>
      </c>
      <c r="G102" t="s">
        <v>13</v>
      </c>
      <c r="H102" t="s">
        <v>15</v>
      </c>
      <c r="I102" s="8">
        <v>45434</v>
      </c>
      <c r="J102">
        <v>21</v>
      </c>
      <c r="K102" t="s">
        <v>303</v>
      </c>
      <c r="L102" t="s">
        <v>103</v>
      </c>
      <c r="M102" t="s">
        <v>264</v>
      </c>
    </row>
    <row r="103" spans="1:13" x14ac:dyDescent="0.3">
      <c r="A103" t="s">
        <v>10</v>
      </c>
      <c r="B103" t="s">
        <v>11</v>
      </c>
      <c r="C103" t="s">
        <v>163</v>
      </c>
      <c r="D103" t="s">
        <v>61</v>
      </c>
      <c r="E103" t="s">
        <v>157</v>
      </c>
      <c r="F103" t="s">
        <v>12</v>
      </c>
      <c r="G103" t="s">
        <v>13</v>
      </c>
      <c r="H103" t="s">
        <v>15</v>
      </c>
      <c r="I103" s="8">
        <v>45435</v>
      </c>
      <c r="J103">
        <v>21</v>
      </c>
      <c r="K103" t="s">
        <v>304</v>
      </c>
      <c r="L103" t="s">
        <v>103</v>
      </c>
      <c r="M103" t="s">
        <v>264</v>
      </c>
    </row>
    <row r="104" spans="1:13" x14ac:dyDescent="0.3">
      <c r="A104" t="s">
        <v>10</v>
      </c>
      <c r="B104" t="s">
        <v>11</v>
      </c>
      <c r="C104" t="s">
        <v>163</v>
      </c>
      <c r="D104" t="s">
        <v>61</v>
      </c>
      <c r="E104" t="s">
        <v>157</v>
      </c>
      <c r="F104" t="s">
        <v>12</v>
      </c>
      <c r="G104" t="s">
        <v>13</v>
      </c>
      <c r="H104" t="s">
        <v>15</v>
      </c>
      <c r="I104" s="8">
        <v>45436</v>
      </c>
      <c r="J104">
        <v>21</v>
      </c>
      <c r="K104" t="s">
        <v>305</v>
      </c>
      <c r="L104" t="s">
        <v>103</v>
      </c>
      <c r="M104" t="s">
        <v>264</v>
      </c>
    </row>
    <row r="105" spans="1:13" x14ac:dyDescent="0.3">
      <c r="A105" t="s">
        <v>10</v>
      </c>
      <c r="B105" t="s">
        <v>11</v>
      </c>
      <c r="C105" t="s">
        <v>163</v>
      </c>
      <c r="D105" t="s">
        <v>61</v>
      </c>
      <c r="E105" t="s">
        <v>157</v>
      </c>
      <c r="F105" t="s">
        <v>12</v>
      </c>
      <c r="G105" t="s">
        <v>13</v>
      </c>
      <c r="H105" t="s">
        <v>15</v>
      </c>
      <c r="I105" s="8">
        <v>45440</v>
      </c>
      <c r="J105">
        <v>15</v>
      </c>
      <c r="K105" t="s">
        <v>306</v>
      </c>
      <c r="L105" t="s">
        <v>103</v>
      </c>
      <c r="M105" t="s">
        <v>264</v>
      </c>
    </row>
    <row r="106" spans="1:13" x14ac:dyDescent="0.3">
      <c r="A106" t="s">
        <v>10</v>
      </c>
      <c r="B106" t="s">
        <v>11</v>
      </c>
      <c r="C106" t="s">
        <v>129</v>
      </c>
      <c r="D106" t="s">
        <v>130</v>
      </c>
      <c r="E106" t="s">
        <v>131</v>
      </c>
      <c r="F106" t="s">
        <v>132</v>
      </c>
      <c r="G106" t="s">
        <v>133</v>
      </c>
      <c r="H106" t="s">
        <v>134</v>
      </c>
      <c r="I106" s="8">
        <v>45370</v>
      </c>
      <c r="J106">
        <v>12</v>
      </c>
      <c r="K106" t="s">
        <v>307</v>
      </c>
      <c r="L106" t="s">
        <v>103</v>
      </c>
      <c r="M106" t="s">
        <v>285</v>
      </c>
    </row>
    <row r="107" spans="1:13" x14ac:dyDescent="0.3">
      <c r="A107" t="s">
        <v>10</v>
      </c>
      <c r="B107" t="s">
        <v>11</v>
      </c>
      <c r="C107" t="s">
        <v>129</v>
      </c>
      <c r="D107" t="s">
        <v>130</v>
      </c>
      <c r="E107" t="s">
        <v>131</v>
      </c>
      <c r="F107" t="s">
        <v>135</v>
      </c>
      <c r="G107" t="s">
        <v>115</v>
      </c>
      <c r="H107" t="s">
        <v>136</v>
      </c>
      <c r="I107" s="8">
        <v>45370</v>
      </c>
      <c r="J107">
        <v>24</v>
      </c>
      <c r="K107" t="s">
        <v>308</v>
      </c>
      <c r="L107" t="s">
        <v>103</v>
      </c>
      <c r="M107" t="s">
        <v>287</v>
      </c>
    </row>
    <row r="108" spans="1:13" x14ac:dyDescent="0.3">
      <c r="A108" t="s">
        <v>10</v>
      </c>
      <c r="B108" t="s">
        <v>11</v>
      </c>
      <c r="C108" t="s">
        <v>14</v>
      </c>
      <c r="D108" t="s">
        <v>137</v>
      </c>
      <c r="E108" t="s">
        <v>138</v>
      </c>
      <c r="F108" t="s">
        <v>139</v>
      </c>
      <c r="G108" t="s">
        <v>140</v>
      </c>
      <c r="H108" t="s">
        <v>141</v>
      </c>
      <c r="I108" s="8">
        <v>45344</v>
      </c>
      <c r="J108">
        <v>1</v>
      </c>
      <c r="K108" t="s">
        <v>310</v>
      </c>
      <c r="L108" t="s">
        <v>103</v>
      </c>
      <c r="M108" t="s">
        <v>289</v>
      </c>
    </row>
    <row r="109" spans="1:13" x14ac:dyDescent="0.3">
      <c r="A109" t="s">
        <v>10</v>
      </c>
      <c r="B109" t="s">
        <v>21</v>
      </c>
      <c r="C109" t="s">
        <v>49</v>
      </c>
      <c r="D109" t="s">
        <v>50</v>
      </c>
      <c r="E109" t="s">
        <v>51</v>
      </c>
      <c r="F109" t="s">
        <v>24</v>
      </c>
      <c r="G109" t="s">
        <v>25</v>
      </c>
      <c r="I109" s="8">
        <v>45323</v>
      </c>
      <c r="J109">
        <v>16</v>
      </c>
      <c r="K109" t="s">
        <v>311</v>
      </c>
      <c r="L109" t="s">
        <v>103</v>
      </c>
      <c r="M109" t="s">
        <v>291</v>
      </c>
    </row>
    <row r="110" spans="1:13" x14ac:dyDescent="0.3">
      <c r="A110" t="s">
        <v>10</v>
      </c>
      <c r="B110" t="s">
        <v>21</v>
      </c>
      <c r="C110" t="s">
        <v>22</v>
      </c>
      <c r="D110" t="s">
        <v>23</v>
      </c>
      <c r="E110" t="s">
        <v>27</v>
      </c>
      <c r="F110" t="s">
        <v>24</v>
      </c>
      <c r="G110" t="s">
        <v>25</v>
      </c>
      <c r="I110" s="8">
        <v>45323</v>
      </c>
      <c r="J110">
        <v>24</v>
      </c>
      <c r="K110" t="s">
        <v>312</v>
      </c>
      <c r="L110" t="s">
        <v>103</v>
      </c>
      <c r="M110" t="s">
        <v>293</v>
      </c>
    </row>
    <row r="111" spans="1:13" x14ac:dyDescent="0.3">
      <c r="A111" t="s">
        <v>10</v>
      </c>
      <c r="B111" t="s">
        <v>21</v>
      </c>
      <c r="C111" t="s">
        <v>142</v>
      </c>
      <c r="D111" t="s">
        <v>143</v>
      </c>
      <c r="E111" t="s">
        <v>144</v>
      </c>
      <c r="F111" t="s">
        <v>117</v>
      </c>
      <c r="G111" t="s">
        <v>145</v>
      </c>
      <c r="I111" s="8">
        <v>45383</v>
      </c>
      <c r="J111">
        <v>40</v>
      </c>
      <c r="K111" t="s">
        <v>313</v>
      </c>
      <c r="L111" t="s">
        <v>103</v>
      </c>
      <c r="M111" t="s">
        <v>295</v>
      </c>
    </row>
    <row r="112" spans="1:13" x14ac:dyDescent="0.3">
      <c r="A112" t="s">
        <v>10</v>
      </c>
      <c r="B112" t="s">
        <v>21</v>
      </c>
      <c r="C112" t="s">
        <v>142</v>
      </c>
      <c r="D112" t="s">
        <v>143</v>
      </c>
      <c r="E112" t="s">
        <v>144</v>
      </c>
      <c r="F112" t="s">
        <v>117</v>
      </c>
      <c r="G112" t="s">
        <v>145</v>
      </c>
      <c r="I112" s="8">
        <v>45384</v>
      </c>
      <c r="J112">
        <v>40</v>
      </c>
      <c r="K112" t="s">
        <v>314</v>
      </c>
      <c r="L112" t="s">
        <v>103</v>
      </c>
      <c r="M112" t="s">
        <v>295</v>
      </c>
    </row>
    <row r="113" spans="1:13" x14ac:dyDescent="0.3">
      <c r="A113" t="s">
        <v>10</v>
      </c>
      <c r="B113" t="s">
        <v>21</v>
      </c>
      <c r="C113" t="s">
        <v>116</v>
      </c>
      <c r="D113" t="s">
        <v>146</v>
      </c>
      <c r="E113" t="s">
        <v>147</v>
      </c>
      <c r="F113" t="s">
        <v>24</v>
      </c>
      <c r="G113" t="s">
        <v>25</v>
      </c>
      <c r="I113" s="8">
        <v>45324</v>
      </c>
      <c r="J113">
        <v>16</v>
      </c>
      <c r="K113" t="s">
        <v>315</v>
      </c>
      <c r="L113" t="s">
        <v>103</v>
      </c>
      <c r="M113" t="s">
        <v>298</v>
      </c>
    </row>
    <row r="114" spans="1:13" x14ac:dyDescent="0.3">
      <c r="A114" t="s">
        <v>10</v>
      </c>
      <c r="B114" t="s">
        <v>21</v>
      </c>
      <c r="C114" t="s">
        <v>116</v>
      </c>
      <c r="D114" t="s">
        <v>146</v>
      </c>
      <c r="E114" t="s">
        <v>147</v>
      </c>
      <c r="F114" t="s">
        <v>24</v>
      </c>
      <c r="G114" t="s">
        <v>25</v>
      </c>
      <c r="I114" s="8">
        <v>45419</v>
      </c>
      <c r="J114">
        <v>10</v>
      </c>
      <c r="K114" t="s">
        <v>316</v>
      </c>
      <c r="L114" t="s">
        <v>103</v>
      </c>
      <c r="M114" t="s">
        <v>298</v>
      </c>
    </row>
    <row r="115" spans="1:13" x14ac:dyDescent="0.3">
      <c r="A115" t="s">
        <v>10</v>
      </c>
      <c r="B115" t="s">
        <v>21</v>
      </c>
      <c r="C115" t="s">
        <v>116</v>
      </c>
      <c r="D115" t="s">
        <v>146</v>
      </c>
      <c r="E115" t="s">
        <v>147</v>
      </c>
      <c r="F115" t="s">
        <v>24</v>
      </c>
      <c r="G115" t="s">
        <v>25</v>
      </c>
      <c r="I115" s="8">
        <v>45420</v>
      </c>
      <c r="J115">
        <v>21</v>
      </c>
      <c r="K115" t="s">
        <v>318</v>
      </c>
      <c r="L115" t="s">
        <v>103</v>
      </c>
      <c r="M115" t="s">
        <v>298</v>
      </c>
    </row>
    <row r="116" spans="1:13" x14ac:dyDescent="0.3">
      <c r="A116" t="s">
        <v>10</v>
      </c>
      <c r="B116" t="s">
        <v>21</v>
      </c>
      <c r="C116" t="s">
        <v>116</v>
      </c>
      <c r="D116" t="s">
        <v>146</v>
      </c>
      <c r="E116" t="s">
        <v>147</v>
      </c>
      <c r="F116" t="s">
        <v>24</v>
      </c>
      <c r="G116" t="s">
        <v>25</v>
      </c>
      <c r="I116" s="8">
        <v>45421</v>
      </c>
      <c r="J116">
        <v>21</v>
      </c>
      <c r="K116" t="s">
        <v>319</v>
      </c>
      <c r="L116" t="s">
        <v>103</v>
      </c>
      <c r="M116" t="s">
        <v>298</v>
      </c>
    </row>
    <row r="117" spans="1:13" x14ac:dyDescent="0.3">
      <c r="A117" t="s">
        <v>10</v>
      </c>
      <c r="B117" t="s">
        <v>21</v>
      </c>
      <c r="C117" t="s">
        <v>116</v>
      </c>
      <c r="D117" t="s">
        <v>146</v>
      </c>
      <c r="E117" t="s">
        <v>147</v>
      </c>
      <c r="F117" t="s">
        <v>24</v>
      </c>
      <c r="G117" t="s">
        <v>25</v>
      </c>
      <c r="I117" s="8">
        <v>45422</v>
      </c>
      <c r="J117">
        <v>21</v>
      </c>
      <c r="K117" t="s">
        <v>321</v>
      </c>
      <c r="L117" t="s">
        <v>103</v>
      </c>
      <c r="M117" t="s">
        <v>298</v>
      </c>
    </row>
    <row r="118" spans="1:13" x14ac:dyDescent="0.3">
      <c r="A118" t="s">
        <v>10</v>
      </c>
      <c r="B118" t="s">
        <v>21</v>
      </c>
      <c r="C118" t="s">
        <v>116</v>
      </c>
      <c r="D118" t="s">
        <v>146</v>
      </c>
      <c r="E118" t="s">
        <v>147</v>
      </c>
      <c r="F118" t="s">
        <v>24</v>
      </c>
      <c r="G118" t="s">
        <v>25</v>
      </c>
      <c r="I118" s="8">
        <v>45425</v>
      </c>
      <c r="J118">
        <v>19</v>
      </c>
      <c r="K118" t="s">
        <v>322</v>
      </c>
      <c r="L118" t="s">
        <v>103</v>
      </c>
      <c r="M118" t="s">
        <v>298</v>
      </c>
    </row>
    <row r="119" spans="1:13" x14ac:dyDescent="0.3">
      <c r="A119" t="s">
        <v>10</v>
      </c>
      <c r="B119" t="s">
        <v>21</v>
      </c>
      <c r="C119" t="s">
        <v>116</v>
      </c>
      <c r="D119" t="s">
        <v>146</v>
      </c>
      <c r="E119" t="s">
        <v>147</v>
      </c>
      <c r="F119" t="s">
        <v>24</v>
      </c>
      <c r="G119" t="s">
        <v>25</v>
      </c>
      <c r="I119" s="8">
        <v>45426</v>
      </c>
      <c r="J119">
        <v>21</v>
      </c>
      <c r="K119" t="s">
        <v>323</v>
      </c>
      <c r="L119" t="s">
        <v>103</v>
      </c>
      <c r="M119" t="s">
        <v>298</v>
      </c>
    </row>
    <row r="120" spans="1:13" x14ac:dyDescent="0.3">
      <c r="A120" t="s">
        <v>10</v>
      </c>
      <c r="B120" t="s">
        <v>21</v>
      </c>
      <c r="C120" t="s">
        <v>116</v>
      </c>
      <c r="D120" t="s">
        <v>146</v>
      </c>
      <c r="E120" t="s">
        <v>147</v>
      </c>
      <c r="F120" t="s">
        <v>24</v>
      </c>
      <c r="G120" t="s">
        <v>25</v>
      </c>
      <c r="I120" s="8">
        <v>45440</v>
      </c>
      <c r="J120">
        <v>6</v>
      </c>
      <c r="K120" t="s">
        <v>325</v>
      </c>
      <c r="L120" t="s">
        <v>103</v>
      </c>
      <c r="M120" t="s">
        <v>298</v>
      </c>
    </row>
    <row r="121" spans="1:13" x14ac:dyDescent="0.3">
      <c r="A121" t="s">
        <v>10</v>
      </c>
      <c r="B121" t="s">
        <v>21</v>
      </c>
      <c r="C121" t="s">
        <v>116</v>
      </c>
      <c r="D121" t="s">
        <v>146</v>
      </c>
      <c r="E121" t="s">
        <v>147</v>
      </c>
      <c r="F121" t="s">
        <v>24</v>
      </c>
      <c r="G121" t="s">
        <v>25</v>
      </c>
      <c r="I121" s="8">
        <v>45441</v>
      </c>
      <c r="J121">
        <v>23</v>
      </c>
      <c r="K121" t="s">
        <v>326</v>
      </c>
      <c r="L121" t="s">
        <v>103</v>
      </c>
      <c r="M121" t="s">
        <v>298</v>
      </c>
    </row>
    <row r="122" spans="1:13" x14ac:dyDescent="0.3">
      <c r="A122" t="s">
        <v>10</v>
      </c>
      <c r="B122" t="s">
        <v>21</v>
      </c>
      <c r="C122" t="s">
        <v>116</v>
      </c>
      <c r="D122" t="s">
        <v>146</v>
      </c>
      <c r="E122" t="s">
        <v>147</v>
      </c>
      <c r="F122" t="s">
        <v>24</v>
      </c>
      <c r="G122" t="s">
        <v>25</v>
      </c>
      <c r="I122" s="8">
        <v>45442</v>
      </c>
      <c r="J122">
        <v>2</v>
      </c>
      <c r="K122" t="s">
        <v>327</v>
      </c>
      <c r="L122" t="s">
        <v>103</v>
      </c>
      <c r="M122" t="s">
        <v>298</v>
      </c>
    </row>
    <row r="123" spans="1:13" x14ac:dyDescent="0.3">
      <c r="A123" t="s">
        <v>10</v>
      </c>
      <c r="B123" t="s">
        <v>21</v>
      </c>
      <c r="C123" t="s">
        <v>49</v>
      </c>
      <c r="D123" t="s">
        <v>164</v>
      </c>
      <c r="E123" t="s">
        <v>165</v>
      </c>
      <c r="F123" t="s">
        <v>166</v>
      </c>
      <c r="G123" t="s">
        <v>167</v>
      </c>
      <c r="I123" s="8">
        <v>45442</v>
      </c>
      <c r="J123">
        <v>13</v>
      </c>
      <c r="K123" t="s">
        <v>328</v>
      </c>
      <c r="L123" t="s">
        <v>103</v>
      </c>
      <c r="M123" t="s">
        <v>309</v>
      </c>
    </row>
    <row r="124" spans="1:13" x14ac:dyDescent="0.3">
      <c r="A124" t="s">
        <v>10</v>
      </c>
      <c r="B124" t="s">
        <v>21</v>
      </c>
      <c r="C124" t="s">
        <v>49</v>
      </c>
      <c r="D124" t="s">
        <v>164</v>
      </c>
      <c r="E124" t="s">
        <v>165</v>
      </c>
      <c r="F124" t="s">
        <v>166</v>
      </c>
      <c r="G124" t="s">
        <v>167</v>
      </c>
      <c r="I124" s="8">
        <v>45443</v>
      </c>
      <c r="J124">
        <v>23</v>
      </c>
      <c r="K124" t="s">
        <v>330</v>
      </c>
      <c r="L124" t="s">
        <v>103</v>
      </c>
      <c r="M124" t="s">
        <v>309</v>
      </c>
    </row>
    <row r="125" spans="1:13" x14ac:dyDescent="0.3">
      <c r="A125" t="s">
        <v>10</v>
      </c>
      <c r="B125" t="s">
        <v>21</v>
      </c>
      <c r="C125" t="s">
        <v>49</v>
      </c>
      <c r="D125" t="s">
        <v>164</v>
      </c>
      <c r="E125" t="s">
        <v>165</v>
      </c>
      <c r="F125" t="s">
        <v>166</v>
      </c>
      <c r="G125" t="s">
        <v>167</v>
      </c>
      <c r="I125" s="8">
        <v>45446</v>
      </c>
      <c r="J125">
        <v>23</v>
      </c>
      <c r="K125" t="s">
        <v>331</v>
      </c>
      <c r="L125" t="s">
        <v>103</v>
      </c>
      <c r="M125" t="s">
        <v>309</v>
      </c>
    </row>
    <row r="126" spans="1:13" x14ac:dyDescent="0.3">
      <c r="A126" t="s">
        <v>10</v>
      </c>
      <c r="B126" t="s">
        <v>21</v>
      </c>
      <c r="C126" t="s">
        <v>49</v>
      </c>
      <c r="D126" t="s">
        <v>164</v>
      </c>
      <c r="E126" t="s">
        <v>165</v>
      </c>
      <c r="F126" t="s">
        <v>166</v>
      </c>
      <c r="G126" t="s">
        <v>167</v>
      </c>
      <c r="I126" s="8">
        <v>45447</v>
      </c>
      <c r="J126">
        <v>23</v>
      </c>
      <c r="K126" t="s">
        <v>332</v>
      </c>
      <c r="L126" t="s">
        <v>103</v>
      </c>
      <c r="M126" t="s">
        <v>309</v>
      </c>
    </row>
    <row r="127" spans="1:13" x14ac:dyDescent="0.3">
      <c r="A127" t="s">
        <v>10</v>
      </c>
      <c r="B127" t="s">
        <v>21</v>
      </c>
      <c r="C127" t="s">
        <v>49</v>
      </c>
      <c r="D127" t="s">
        <v>164</v>
      </c>
      <c r="E127" t="s">
        <v>165</v>
      </c>
      <c r="F127" t="s">
        <v>166</v>
      </c>
      <c r="G127" t="s">
        <v>167</v>
      </c>
      <c r="I127" s="8">
        <v>45448</v>
      </c>
      <c r="J127">
        <v>23</v>
      </c>
      <c r="K127" t="s">
        <v>333</v>
      </c>
      <c r="L127" t="s">
        <v>103</v>
      </c>
      <c r="M127" t="s">
        <v>309</v>
      </c>
    </row>
    <row r="128" spans="1:13" x14ac:dyDescent="0.3">
      <c r="A128" t="s">
        <v>10</v>
      </c>
      <c r="B128" t="s">
        <v>21</v>
      </c>
      <c r="C128" t="s">
        <v>49</v>
      </c>
      <c r="D128" t="s">
        <v>164</v>
      </c>
      <c r="E128" t="s">
        <v>165</v>
      </c>
      <c r="F128" t="s">
        <v>166</v>
      </c>
      <c r="G128" t="s">
        <v>167</v>
      </c>
      <c r="I128" s="8">
        <v>45453</v>
      </c>
      <c r="J128">
        <v>15</v>
      </c>
      <c r="K128" t="s">
        <v>334</v>
      </c>
      <c r="L128" t="s">
        <v>103</v>
      </c>
      <c r="M128" t="s">
        <v>309</v>
      </c>
    </row>
    <row r="129" spans="1:13" x14ac:dyDescent="0.3">
      <c r="A129" t="s">
        <v>10</v>
      </c>
      <c r="B129" t="s">
        <v>21</v>
      </c>
      <c r="C129" t="s">
        <v>49</v>
      </c>
      <c r="D129" t="s">
        <v>164</v>
      </c>
      <c r="E129" t="s">
        <v>168</v>
      </c>
      <c r="F129" t="s">
        <v>166</v>
      </c>
      <c r="G129" t="s">
        <v>167</v>
      </c>
      <c r="I129" s="8">
        <v>45442</v>
      </c>
      <c r="J129">
        <v>4</v>
      </c>
      <c r="K129" t="s">
        <v>336</v>
      </c>
      <c r="L129" t="s">
        <v>103</v>
      </c>
      <c r="M129" t="s">
        <v>317</v>
      </c>
    </row>
    <row r="130" spans="1:13" x14ac:dyDescent="0.3">
      <c r="A130" t="s">
        <v>10</v>
      </c>
      <c r="B130" t="s">
        <v>21</v>
      </c>
      <c r="C130" t="s">
        <v>49</v>
      </c>
      <c r="D130" t="s">
        <v>164</v>
      </c>
      <c r="E130" t="s">
        <v>446</v>
      </c>
      <c r="F130" t="s">
        <v>24</v>
      </c>
      <c r="G130" t="s">
        <v>25</v>
      </c>
      <c r="I130" s="8">
        <v>45442</v>
      </c>
      <c r="J130">
        <v>4</v>
      </c>
      <c r="K130" t="s">
        <v>337</v>
      </c>
      <c r="L130" t="s">
        <v>103</v>
      </c>
      <c r="M130" t="s">
        <v>470</v>
      </c>
    </row>
    <row r="131" spans="1:13" x14ac:dyDescent="0.3">
      <c r="A131" t="s">
        <v>10</v>
      </c>
      <c r="B131" t="s">
        <v>21</v>
      </c>
      <c r="C131" t="s">
        <v>447</v>
      </c>
      <c r="D131" t="s">
        <v>448</v>
      </c>
      <c r="E131" t="s">
        <v>449</v>
      </c>
      <c r="F131" t="s">
        <v>24</v>
      </c>
      <c r="G131" t="s">
        <v>25</v>
      </c>
      <c r="I131" s="8">
        <v>45453</v>
      </c>
      <c r="J131">
        <v>8</v>
      </c>
      <c r="K131" t="s">
        <v>338</v>
      </c>
      <c r="L131" t="s">
        <v>103</v>
      </c>
      <c r="M131" t="s">
        <v>471</v>
      </c>
    </row>
    <row r="132" spans="1:13" x14ac:dyDescent="0.3">
      <c r="A132" t="s">
        <v>10</v>
      </c>
      <c r="B132" t="s">
        <v>21</v>
      </c>
      <c r="C132" t="s">
        <v>447</v>
      </c>
      <c r="D132" t="s">
        <v>448</v>
      </c>
      <c r="E132" t="s">
        <v>449</v>
      </c>
      <c r="F132" t="s">
        <v>24</v>
      </c>
      <c r="G132" t="s">
        <v>25</v>
      </c>
      <c r="I132" s="8">
        <v>45454</v>
      </c>
      <c r="J132">
        <v>2</v>
      </c>
      <c r="K132" t="s">
        <v>339</v>
      </c>
      <c r="L132" t="s">
        <v>103</v>
      </c>
      <c r="M132" t="s">
        <v>471</v>
      </c>
    </row>
    <row r="133" spans="1:13" x14ac:dyDescent="0.3">
      <c r="A133" t="s">
        <v>10</v>
      </c>
      <c r="B133" t="s">
        <v>21</v>
      </c>
      <c r="C133" t="s">
        <v>447</v>
      </c>
      <c r="D133" t="s">
        <v>448</v>
      </c>
      <c r="E133" t="s">
        <v>449</v>
      </c>
      <c r="F133" t="s">
        <v>24</v>
      </c>
      <c r="G133" t="s">
        <v>25</v>
      </c>
      <c r="I133" s="8">
        <v>45517</v>
      </c>
      <c r="J133">
        <v>6</v>
      </c>
      <c r="K133" t="s">
        <v>340</v>
      </c>
      <c r="L133" t="s">
        <v>103</v>
      </c>
      <c r="M133" t="s">
        <v>471</v>
      </c>
    </row>
    <row r="134" spans="1:13" x14ac:dyDescent="0.3">
      <c r="A134" t="s">
        <v>10</v>
      </c>
      <c r="B134" t="s">
        <v>21</v>
      </c>
      <c r="C134" t="s">
        <v>447</v>
      </c>
      <c r="D134" t="s">
        <v>448</v>
      </c>
      <c r="E134" t="s">
        <v>450</v>
      </c>
      <c r="F134" t="s">
        <v>117</v>
      </c>
      <c r="G134" t="s">
        <v>145</v>
      </c>
      <c r="I134" s="8">
        <v>45517</v>
      </c>
      <c r="J134">
        <v>17</v>
      </c>
      <c r="K134" t="s">
        <v>342</v>
      </c>
      <c r="L134" t="s">
        <v>103</v>
      </c>
      <c r="M134" t="s">
        <v>472</v>
      </c>
    </row>
    <row r="135" spans="1:13" x14ac:dyDescent="0.3">
      <c r="A135" t="s">
        <v>10</v>
      </c>
      <c r="B135" t="s">
        <v>21</v>
      </c>
      <c r="C135" t="s">
        <v>447</v>
      </c>
      <c r="D135" t="s">
        <v>448</v>
      </c>
      <c r="E135" t="s">
        <v>450</v>
      </c>
      <c r="F135" t="s">
        <v>117</v>
      </c>
      <c r="G135" t="s">
        <v>145</v>
      </c>
      <c r="I135" s="8">
        <v>45518</v>
      </c>
      <c r="J135">
        <v>23</v>
      </c>
      <c r="K135" t="s">
        <v>343</v>
      </c>
      <c r="L135" t="s">
        <v>103</v>
      </c>
      <c r="M135" t="s">
        <v>472</v>
      </c>
    </row>
    <row r="136" spans="1:13" x14ac:dyDescent="0.3">
      <c r="A136" t="s">
        <v>10</v>
      </c>
      <c r="B136" t="s">
        <v>21</v>
      </c>
      <c r="C136" t="s">
        <v>447</v>
      </c>
      <c r="D136" t="s">
        <v>448</v>
      </c>
      <c r="E136" t="s">
        <v>450</v>
      </c>
      <c r="F136" t="s">
        <v>117</v>
      </c>
      <c r="G136" t="s">
        <v>145</v>
      </c>
      <c r="I136" s="8">
        <v>45519</v>
      </c>
      <c r="J136">
        <v>15</v>
      </c>
      <c r="K136" t="s">
        <v>344</v>
      </c>
      <c r="L136" t="s">
        <v>103</v>
      </c>
      <c r="M136" t="s">
        <v>472</v>
      </c>
    </row>
    <row r="137" spans="1:13" x14ac:dyDescent="0.3">
      <c r="A137" t="s">
        <v>10</v>
      </c>
      <c r="B137" t="s">
        <v>21</v>
      </c>
      <c r="C137" t="s">
        <v>447</v>
      </c>
      <c r="D137" t="s">
        <v>448</v>
      </c>
      <c r="E137" t="s">
        <v>450</v>
      </c>
      <c r="F137" t="s">
        <v>117</v>
      </c>
      <c r="G137" t="s">
        <v>145</v>
      </c>
      <c r="I137" s="8">
        <v>45520</v>
      </c>
      <c r="J137">
        <v>23</v>
      </c>
      <c r="K137" t="s">
        <v>345</v>
      </c>
      <c r="L137" t="s">
        <v>103</v>
      </c>
      <c r="M137" t="s">
        <v>472</v>
      </c>
    </row>
    <row r="138" spans="1:13" x14ac:dyDescent="0.3">
      <c r="A138" t="s">
        <v>10</v>
      </c>
      <c r="B138" t="s">
        <v>21</v>
      </c>
      <c r="C138" t="s">
        <v>447</v>
      </c>
      <c r="D138" t="s">
        <v>448</v>
      </c>
      <c r="E138" t="s">
        <v>450</v>
      </c>
      <c r="F138" t="s">
        <v>117</v>
      </c>
      <c r="G138" t="s">
        <v>145</v>
      </c>
      <c r="I138" s="8">
        <v>45523</v>
      </c>
      <c r="J138">
        <v>23</v>
      </c>
      <c r="K138" t="s">
        <v>346</v>
      </c>
      <c r="L138" t="s">
        <v>103</v>
      </c>
      <c r="M138" t="s">
        <v>472</v>
      </c>
    </row>
    <row r="139" spans="1:13" x14ac:dyDescent="0.3">
      <c r="A139" t="s">
        <v>10</v>
      </c>
      <c r="B139" t="s">
        <v>21</v>
      </c>
      <c r="C139" t="s">
        <v>447</v>
      </c>
      <c r="D139" t="s">
        <v>448</v>
      </c>
      <c r="E139" t="s">
        <v>450</v>
      </c>
      <c r="F139" t="s">
        <v>117</v>
      </c>
      <c r="G139" t="s">
        <v>145</v>
      </c>
      <c r="I139" s="8">
        <v>45524</v>
      </c>
      <c r="J139">
        <v>23</v>
      </c>
      <c r="K139" t="s">
        <v>348</v>
      </c>
      <c r="L139" t="s">
        <v>103</v>
      </c>
      <c r="M139" t="s">
        <v>472</v>
      </c>
    </row>
    <row r="140" spans="1:13" x14ac:dyDescent="0.3">
      <c r="A140" t="s">
        <v>10</v>
      </c>
      <c r="B140" t="s">
        <v>21</v>
      </c>
      <c r="C140" t="s">
        <v>447</v>
      </c>
      <c r="D140" t="s">
        <v>448</v>
      </c>
      <c r="E140" t="s">
        <v>450</v>
      </c>
      <c r="F140" t="s">
        <v>117</v>
      </c>
      <c r="G140" t="s">
        <v>145</v>
      </c>
      <c r="I140" s="8">
        <v>45525</v>
      </c>
      <c r="J140">
        <v>23</v>
      </c>
      <c r="K140" t="s">
        <v>349</v>
      </c>
      <c r="L140" t="s">
        <v>103</v>
      </c>
      <c r="M140" t="s">
        <v>472</v>
      </c>
    </row>
    <row r="141" spans="1:13" x14ac:dyDescent="0.3">
      <c r="A141" t="s">
        <v>10</v>
      </c>
      <c r="B141" t="s">
        <v>21</v>
      </c>
      <c r="C141" t="s">
        <v>447</v>
      </c>
      <c r="D141" t="s">
        <v>448</v>
      </c>
      <c r="E141" t="s">
        <v>450</v>
      </c>
      <c r="F141" t="s">
        <v>117</v>
      </c>
      <c r="G141" t="s">
        <v>145</v>
      </c>
      <c r="I141" s="8">
        <v>45526</v>
      </c>
      <c r="J141">
        <v>13</v>
      </c>
      <c r="K141" t="s">
        <v>350</v>
      </c>
      <c r="L141" t="s">
        <v>103</v>
      </c>
      <c r="M141" t="s">
        <v>472</v>
      </c>
    </row>
    <row r="142" spans="1:13" x14ac:dyDescent="0.3">
      <c r="A142" t="s">
        <v>28</v>
      </c>
      <c r="B142" t="s">
        <v>29</v>
      </c>
      <c r="C142" t="s">
        <v>14</v>
      </c>
      <c r="D142" t="s">
        <v>17</v>
      </c>
      <c r="E142" t="s">
        <v>20</v>
      </c>
      <c r="F142" t="s">
        <v>30</v>
      </c>
      <c r="G142" t="s">
        <v>31</v>
      </c>
      <c r="H142" t="s">
        <v>15</v>
      </c>
      <c r="I142" s="8">
        <v>45294</v>
      </c>
      <c r="J142">
        <v>3</v>
      </c>
      <c r="K142" t="s">
        <v>351</v>
      </c>
      <c r="L142" t="s">
        <v>106</v>
      </c>
      <c r="M142" t="s">
        <v>320</v>
      </c>
    </row>
    <row r="143" spans="1:13" x14ac:dyDescent="0.3">
      <c r="A143" t="s">
        <v>28</v>
      </c>
      <c r="B143" t="s">
        <v>29</v>
      </c>
      <c r="C143" t="s">
        <v>14</v>
      </c>
      <c r="D143" t="s">
        <v>17</v>
      </c>
      <c r="E143" t="s">
        <v>20</v>
      </c>
      <c r="F143" t="s">
        <v>30</v>
      </c>
      <c r="G143" t="s">
        <v>31</v>
      </c>
      <c r="H143" t="s">
        <v>15</v>
      </c>
      <c r="I143" s="8">
        <v>45296</v>
      </c>
      <c r="J143">
        <v>8</v>
      </c>
      <c r="K143" t="s">
        <v>353</v>
      </c>
      <c r="L143" t="s">
        <v>106</v>
      </c>
      <c r="M143" t="s">
        <v>320</v>
      </c>
    </row>
    <row r="144" spans="1:13" x14ac:dyDescent="0.3">
      <c r="A144" t="s">
        <v>28</v>
      </c>
      <c r="B144" t="s">
        <v>29</v>
      </c>
      <c r="C144" t="s">
        <v>14</v>
      </c>
      <c r="D144" t="s">
        <v>17</v>
      </c>
      <c r="E144" t="s">
        <v>20</v>
      </c>
      <c r="F144" t="s">
        <v>30</v>
      </c>
      <c r="G144" t="s">
        <v>31</v>
      </c>
      <c r="H144" t="s">
        <v>15</v>
      </c>
      <c r="I144" s="8">
        <v>45299</v>
      </c>
      <c r="J144">
        <v>7</v>
      </c>
      <c r="K144" t="s">
        <v>354</v>
      </c>
      <c r="L144" t="s">
        <v>106</v>
      </c>
      <c r="M144" t="s">
        <v>320</v>
      </c>
    </row>
    <row r="145" spans="1:13" x14ac:dyDescent="0.3">
      <c r="A145" t="s">
        <v>28</v>
      </c>
      <c r="B145" t="s">
        <v>29</v>
      </c>
      <c r="C145" t="s">
        <v>14</v>
      </c>
      <c r="D145" t="s">
        <v>17</v>
      </c>
      <c r="E145" t="s">
        <v>40</v>
      </c>
      <c r="F145" t="s">
        <v>30</v>
      </c>
      <c r="G145" t="s">
        <v>31</v>
      </c>
      <c r="H145" t="s">
        <v>15</v>
      </c>
      <c r="I145" s="8">
        <v>45301</v>
      </c>
      <c r="J145">
        <v>8</v>
      </c>
      <c r="K145" t="s">
        <v>355</v>
      </c>
      <c r="L145" t="s">
        <v>106</v>
      </c>
      <c r="M145" t="s">
        <v>324</v>
      </c>
    </row>
    <row r="146" spans="1:13" x14ac:dyDescent="0.3">
      <c r="A146" t="s">
        <v>28</v>
      </c>
      <c r="B146" t="s">
        <v>29</v>
      </c>
      <c r="C146" t="s">
        <v>14</v>
      </c>
      <c r="D146" t="s">
        <v>17</v>
      </c>
      <c r="E146" t="s">
        <v>40</v>
      </c>
      <c r="F146" t="s">
        <v>30</v>
      </c>
      <c r="G146" t="s">
        <v>31</v>
      </c>
      <c r="H146" t="s">
        <v>15</v>
      </c>
      <c r="I146" s="8">
        <v>45303</v>
      </c>
      <c r="J146">
        <v>7</v>
      </c>
      <c r="K146" t="s">
        <v>356</v>
      </c>
      <c r="L146" t="s">
        <v>106</v>
      </c>
      <c r="M146" t="s">
        <v>324</v>
      </c>
    </row>
    <row r="147" spans="1:13" x14ac:dyDescent="0.3">
      <c r="A147" t="s">
        <v>28</v>
      </c>
      <c r="B147" t="s">
        <v>29</v>
      </c>
      <c r="C147" t="s">
        <v>14</v>
      </c>
      <c r="D147" t="s">
        <v>17</v>
      </c>
      <c r="E147" t="s">
        <v>40</v>
      </c>
      <c r="F147" t="s">
        <v>30</v>
      </c>
      <c r="G147" t="s">
        <v>31</v>
      </c>
      <c r="H147" t="s">
        <v>15</v>
      </c>
      <c r="I147" s="8">
        <v>45307</v>
      </c>
      <c r="J147">
        <v>8</v>
      </c>
      <c r="K147" t="s">
        <v>357</v>
      </c>
      <c r="L147" t="s">
        <v>106</v>
      </c>
      <c r="M147" t="s">
        <v>324</v>
      </c>
    </row>
    <row r="148" spans="1:13" x14ac:dyDescent="0.3">
      <c r="A148" t="s">
        <v>28</v>
      </c>
      <c r="B148" t="s">
        <v>29</v>
      </c>
      <c r="C148" t="s">
        <v>14</v>
      </c>
      <c r="D148" t="s">
        <v>17</v>
      </c>
      <c r="E148" t="s">
        <v>40</v>
      </c>
      <c r="F148" t="s">
        <v>30</v>
      </c>
      <c r="G148" t="s">
        <v>31</v>
      </c>
      <c r="H148" t="s">
        <v>15</v>
      </c>
      <c r="I148" s="8">
        <v>45309</v>
      </c>
      <c r="J148">
        <v>7</v>
      </c>
      <c r="K148" t="s">
        <v>358</v>
      </c>
      <c r="L148" t="s">
        <v>106</v>
      </c>
      <c r="M148" t="s">
        <v>324</v>
      </c>
    </row>
    <row r="149" spans="1:13" x14ac:dyDescent="0.3">
      <c r="A149" t="s">
        <v>28</v>
      </c>
      <c r="B149" t="s">
        <v>29</v>
      </c>
      <c r="C149" t="s">
        <v>14</v>
      </c>
      <c r="D149" t="s">
        <v>17</v>
      </c>
      <c r="E149" t="s">
        <v>41</v>
      </c>
      <c r="F149" t="s">
        <v>30</v>
      </c>
      <c r="G149" t="s">
        <v>31</v>
      </c>
      <c r="H149" t="s">
        <v>15</v>
      </c>
      <c r="I149" s="8">
        <v>45314</v>
      </c>
      <c r="J149">
        <v>8</v>
      </c>
      <c r="K149" t="s">
        <v>360</v>
      </c>
      <c r="L149" t="s">
        <v>106</v>
      </c>
      <c r="M149" t="s">
        <v>329</v>
      </c>
    </row>
    <row r="150" spans="1:13" x14ac:dyDescent="0.3">
      <c r="A150" t="s">
        <v>28</v>
      </c>
      <c r="B150" t="s">
        <v>29</v>
      </c>
      <c r="C150" t="s">
        <v>14</v>
      </c>
      <c r="D150" t="s">
        <v>17</v>
      </c>
      <c r="E150" t="s">
        <v>41</v>
      </c>
      <c r="F150" t="s">
        <v>30</v>
      </c>
      <c r="G150" t="s">
        <v>31</v>
      </c>
      <c r="H150" t="s">
        <v>15</v>
      </c>
      <c r="I150" s="8">
        <v>45316</v>
      </c>
      <c r="J150">
        <v>7</v>
      </c>
      <c r="K150" t="s">
        <v>361</v>
      </c>
      <c r="L150" t="s">
        <v>106</v>
      </c>
      <c r="M150" t="s">
        <v>329</v>
      </c>
    </row>
    <row r="151" spans="1:13" x14ac:dyDescent="0.3">
      <c r="A151" t="s">
        <v>28</v>
      </c>
      <c r="B151" t="s">
        <v>29</v>
      </c>
      <c r="C151" t="s">
        <v>14</v>
      </c>
      <c r="D151" t="s">
        <v>17</v>
      </c>
      <c r="E151" t="s">
        <v>41</v>
      </c>
      <c r="F151" t="s">
        <v>30</v>
      </c>
      <c r="G151" t="s">
        <v>31</v>
      </c>
      <c r="H151" t="s">
        <v>15</v>
      </c>
      <c r="I151" s="8">
        <v>45320</v>
      </c>
      <c r="J151">
        <v>8</v>
      </c>
      <c r="K151" t="s">
        <v>362</v>
      </c>
      <c r="L151" t="s">
        <v>106</v>
      </c>
      <c r="M151" t="s">
        <v>329</v>
      </c>
    </row>
    <row r="152" spans="1:13" x14ac:dyDescent="0.3">
      <c r="A152" t="s">
        <v>28</v>
      </c>
      <c r="B152" t="s">
        <v>29</v>
      </c>
      <c r="C152" t="s">
        <v>14</v>
      </c>
      <c r="D152" t="s">
        <v>17</v>
      </c>
      <c r="E152" t="s">
        <v>41</v>
      </c>
      <c r="F152" t="s">
        <v>30</v>
      </c>
      <c r="G152" t="s">
        <v>31</v>
      </c>
      <c r="H152" t="s">
        <v>15</v>
      </c>
      <c r="I152" s="8">
        <v>45322</v>
      </c>
      <c r="J152">
        <v>5</v>
      </c>
      <c r="K152" t="s">
        <v>364</v>
      </c>
      <c r="L152" t="s">
        <v>106</v>
      </c>
      <c r="M152" t="s">
        <v>329</v>
      </c>
    </row>
    <row r="153" spans="1:13" x14ac:dyDescent="0.3">
      <c r="A153" t="s">
        <v>28</v>
      </c>
      <c r="B153" t="s">
        <v>29</v>
      </c>
      <c r="C153" t="s">
        <v>14</v>
      </c>
      <c r="D153" t="s">
        <v>17</v>
      </c>
      <c r="E153" t="s">
        <v>41</v>
      </c>
      <c r="F153" t="s">
        <v>30</v>
      </c>
      <c r="G153" t="s">
        <v>31</v>
      </c>
      <c r="H153" t="s">
        <v>15</v>
      </c>
      <c r="I153" s="8">
        <v>45327</v>
      </c>
      <c r="J153">
        <v>2</v>
      </c>
      <c r="K153" t="s">
        <v>365</v>
      </c>
      <c r="L153" t="s">
        <v>106</v>
      </c>
      <c r="M153" t="s">
        <v>329</v>
      </c>
    </row>
    <row r="154" spans="1:13" x14ac:dyDescent="0.3">
      <c r="A154" t="s">
        <v>28</v>
      </c>
      <c r="B154" t="s">
        <v>29</v>
      </c>
      <c r="C154" t="s">
        <v>14</v>
      </c>
      <c r="D154" t="s">
        <v>17</v>
      </c>
      <c r="E154" t="s">
        <v>42</v>
      </c>
      <c r="F154" t="s">
        <v>30</v>
      </c>
      <c r="G154" t="s">
        <v>31</v>
      </c>
      <c r="H154" t="s">
        <v>15</v>
      </c>
      <c r="I154" s="8">
        <v>45327</v>
      </c>
      <c r="J154">
        <v>5</v>
      </c>
      <c r="K154" t="s">
        <v>366</v>
      </c>
      <c r="L154" t="s">
        <v>106</v>
      </c>
      <c r="M154" t="s">
        <v>335</v>
      </c>
    </row>
    <row r="155" spans="1:13" x14ac:dyDescent="0.3">
      <c r="A155" t="s">
        <v>28</v>
      </c>
      <c r="B155" t="s">
        <v>29</v>
      </c>
      <c r="C155" t="s">
        <v>14</v>
      </c>
      <c r="D155" t="s">
        <v>17</v>
      </c>
      <c r="E155" t="s">
        <v>42</v>
      </c>
      <c r="F155" t="s">
        <v>30</v>
      </c>
      <c r="G155" t="s">
        <v>31</v>
      </c>
      <c r="H155" t="s">
        <v>15</v>
      </c>
      <c r="I155" s="8">
        <v>45329</v>
      </c>
      <c r="J155">
        <v>8</v>
      </c>
      <c r="K155" t="s">
        <v>367</v>
      </c>
      <c r="L155" t="s">
        <v>106</v>
      </c>
      <c r="M155" t="s">
        <v>335</v>
      </c>
    </row>
    <row r="156" spans="1:13" x14ac:dyDescent="0.3">
      <c r="A156" t="s">
        <v>28</v>
      </c>
      <c r="B156" t="s">
        <v>29</v>
      </c>
      <c r="C156" t="s">
        <v>14</v>
      </c>
      <c r="D156" t="s">
        <v>17</v>
      </c>
      <c r="E156" t="s">
        <v>42</v>
      </c>
      <c r="F156" t="s">
        <v>30</v>
      </c>
      <c r="G156" t="s">
        <v>31</v>
      </c>
      <c r="H156" t="s">
        <v>15</v>
      </c>
      <c r="I156" s="8">
        <v>45337</v>
      </c>
      <c r="J156">
        <v>8</v>
      </c>
      <c r="K156" t="s">
        <v>368</v>
      </c>
      <c r="L156" t="s">
        <v>106</v>
      </c>
      <c r="M156" t="s">
        <v>335</v>
      </c>
    </row>
    <row r="157" spans="1:13" x14ac:dyDescent="0.3">
      <c r="A157" t="s">
        <v>28</v>
      </c>
      <c r="B157" t="s">
        <v>29</v>
      </c>
      <c r="C157" t="s">
        <v>14</v>
      </c>
      <c r="D157" t="s">
        <v>17</v>
      </c>
      <c r="E157" t="s">
        <v>42</v>
      </c>
      <c r="F157" t="s">
        <v>30</v>
      </c>
      <c r="G157" t="s">
        <v>31</v>
      </c>
      <c r="H157" t="s">
        <v>15</v>
      </c>
      <c r="I157" s="8">
        <v>45341</v>
      </c>
      <c r="J157">
        <v>7</v>
      </c>
      <c r="K157" t="s">
        <v>369</v>
      </c>
      <c r="L157" t="s">
        <v>106</v>
      </c>
      <c r="M157" t="s">
        <v>335</v>
      </c>
    </row>
    <row r="158" spans="1:13" x14ac:dyDescent="0.3">
      <c r="A158" t="s">
        <v>28</v>
      </c>
      <c r="B158" t="s">
        <v>29</v>
      </c>
      <c r="C158" t="s">
        <v>14</v>
      </c>
      <c r="D158" t="s">
        <v>17</v>
      </c>
      <c r="E158" t="s">
        <v>42</v>
      </c>
      <c r="F158" t="s">
        <v>30</v>
      </c>
      <c r="G158" t="s">
        <v>31</v>
      </c>
      <c r="H158" t="s">
        <v>15</v>
      </c>
      <c r="I158" s="8">
        <v>45342</v>
      </c>
      <c r="J158">
        <v>2</v>
      </c>
      <c r="K158" t="s">
        <v>370</v>
      </c>
      <c r="L158" t="s">
        <v>106</v>
      </c>
      <c r="M158" t="s">
        <v>335</v>
      </c>
    </row>
    <row r="159" spans="1:13" x14ac:dyDescent="0.3">
      <c r="A159" t="s">
        <v>28</v>
      </c>
      <c r="B159" t="s">
        <v>29</v>
      </c>
      <c r="C159" t="s">
        <v>14</v>
      </c>
      <c r="D159" t="s">
        <v>17</v>
      </c>
      <c r="E159" t="s">
        <v>43</v>
      </c>
      <c r="F159" t="s">
        <v>30</v>
      </c>
      <c r="G159" t="s">
        <v>31</v>
      </c>
      <c r="H159" t="s">
        <v>15</v>
      </c>
      <c r="I159" s="8">
        <v>45343</v>
      </c>
      <c r="J159">
        <v>8</v>
      </c>
      <c r="K159" t="s">
        <v>371</v>
      </c>
      <c r="L159" t="s">
        <v>106</v>
      </c>
      <c r="M159" t="s">
        <v>341</v>
      </c>
    </row>
    <row r="160" spans="1:13" x14ac:dyDescent="0.3">
      <c r="A160" t="s">
        <v>28</v>
      </c>
      <c r="B160" t="s">
        <v>29</v>
      </c>
      <c r="C160" t="s">
        <v>14</v>
      </c>
      <c r="D160" t="s">
        <v>17</v>
      </c>
      <c r="E160" t="s">
        <v>43</v>
      </c>
      <c r="F160" t="s">
        <v>30</v>
      </c>
      <c r="G160" t="s">
        <v>31</v>
      </c>
      <c r="H160" t="s">
        <v>15</v>
      </c>
      <c r="I160" s="8">
        <v>45345</v>
      </c>
      <c r="J160">
        <v>5</v>
      </c>
      <c r="K160" t="s">
        <v>373</v>
      </c>
      <c r="L160" t="s">
        <v>106</v>
      </c>
      <c r="M160" t="s">
        <v>341</v>
      </c>
    </row>
    <row r="161" spans="1:13" x14ac:dyDescent="0.3">
      <c r="A161" t="s">
        <v>28</v>
      </c>
      <c r="B161" t="s">
        <v>29</v>
      </c>
      <c r="C161" t="s">
        <v>14</v>
      </c>
      <c r="D161" t="s">
        <v>17</v>
      </c>
      <c r="E161" t="s">
        <v>43</v>
      </c>
      <c r="F161" t="s">
        <v>30</v>
      </c>
      <c r="G161" t="s">
        <v>31</v>
      </c>
      <c r="H161" t="s">
        <v>15</v>
      </c>
      <c r="I161" s="8">
        <v>45351</v>
      </c>
      <c r="J161">
        <v>8</v>
      </c>
      <c r="K161" t="s">
        <v>374</v>
      </c>
      <c r="L161" t="s">
        <v>106</v>
      </c>
      <c r="M161" t="s">
        <v>341</v>
      </c>
    </row>
    <row r="162" spans="1:13" x14ac:dyDescent="0.3">
      <c r="A162" t="s">
        <v>28</v>
      </c>
      <c r="B162" t="s">
        <v>29</v>
      </c>
      <c r="C162" t="s">
        <v>14</v>
      </c>
      <c r="D162" t="s">
        <v>17</v>
      </c>
      <c r="E162" t="s">
        <v>43</v>
      </c>
      <c r="F162" t="s">
        <v>30</v>
      </c>
      <c r="G162" t="s">
        <v>31</v>
      </c>
      <c r="H162" t="s">
        <v>15</v>
      </c>
      <c r="I162" s="8">
        <v>45362</v>
      </c>
      <c r="J162">
        <v>6</v>
      </c>
      <c r="K162" t="s">
        <v>375</v>
      </c>
      <c r="L162" t="s">
        <v>106</v>
      </c>
      <c r="M162" t="s">
        <v>341</v>
      </c>
    </row>
    <row r="163" spans="1:13" x14ac:dyDescent="0.3">
      <c r="A163" t="s">
        <v>28</v>
      </c>
      <c r="B163" t="s">
        <v>29</v>
      </c>
      <c r="C163" t="s">
        <v>14</v>
      </c>
      <c r="D163" t="s">
        <v>17</v>
      </c>
      <c r="E163" t="s">
        <v>43</v>
      </c>
      <c r="F163" t="s">
        <v>30</v>
      </c>
      <c r="G163" t="s">
        <v>31</v>
      </c>
      <c r="H163" t="s">
        <v>15</v>
      </c>
      <c r="I163" s="8">
        <v>45366</v>
      </c>
      <c r="J163">
        <v>3</v>
      </c>
      <c r="K163" t="s">
        <v>376</v>
      </c>
      <c r="L163" t="s">
        <v>106</v>
      </c>
      <c r="M163" t="s">
        <v>341</v>
      </c>
    </row>
    <row r="164" spans="1:13" x14ac:dyDescent="0.3">
      <c r="A164" t="s">
        <v>28</v>
      </c>
      <c r="B164" t="s">
        <v>29</v>
      </c>
      <c r="C164" t="s">
        <v>14</v>
      </c>
      <c r="D164" t="s">
        <v>17</v>
      </c>
      <c r="E164" t="s">
        <v>44</v>
      </c>
      <c r="F164" t="s">
        <v>30</v>
      </c>
      <c r="G164" t="s">
        <v>31</v>
      </c>
      <c r="H164" t="s">
        <v>15</v>
      </c>
      <c r="I164" s="8">
        <v>45369</v>
      </c>
      <c r="J164">
        <v>8</v>
      </c>
      <c r="K164" t="s">
        <v>378</v>
      </c>
      <c r="L164" t="s">
        <v>106</v>
      </c>
      <c r="M164" t="s">
        <v>347</v>
      </c>
    </row>
    <row r="165" spans="1:13" x14ac:dyDescent="0.3">
      <c r="A165" t="s">
        <v>28</v>
      </c>
      <c r="B165" t="s">
        <v>29</v>
      </c>
      <c r="C165" t="s">
        <v>14</v>
      </c>
      <c r="D165" t="s">
        <v>17</v>
      </c>
      <c r="E165" t="s">
        <v>44</v>
      </c>
      <c r="F165" t="s">
        <v>30</v>
      </c>
      <c r="G165" t="s">
        <v>31</v>
      </c>
      <c r="H165" t="s">
        <v>15</v>
      </c>
      <c r="I165" s="8">
        <v>45371</v>
      </c>
      <c r="J165">
        <v>7</v>
      </c>
      <c r="K165" t="s">
        <v>380</v>
      </c>
      <c r="L165" t="s">
        <v>106</v>
      </c>
      <c r="M165" t="s">
        <v>347</v>
      </c>
    </row>
    <row r="166" spans="1:13" x14ac:dyDescent="0.3">
      <c r="A166" t="s">
        <v>28</v>
      </c>
      <c r="B166" t="s">
        <v>29</v>
      </c>
      <c r="C166" t="s">
        <v>14</v>
      </c>
      <c r="D166" t="s">
        <v>17</v>
      </c>
      <c r="E166" t="s">
        <v>44</v>
      </c>
      <c r="F166" t="s">
        <v>30</v>
      </c>
      <c r="G166" t="s">
        <v>31</v>
      </c>
      <c r="H166" t="s">
        <v>15</v>
      </c>
      <c r="I166" s="8">
        <v>45373</v>
      </c>
      <c r="J166">
        <v>8</v>
      </c>
      <c r="K166" t="s">
        <v>382</v>
      </c>
      <c r="L166" t="s">
        <v>106</v>
      </c>
      <c r="M166" t="s">
        <v>347</v>
      </c>
    </row>
    <row r="167" spans="1:13" x14ac:dyDescent="0.3">
      <c r="A167" t="s">
        <v>28</v>
      </c>
      <c r="B167" t="s">
        <v>29</v>
      </c>
      <c r="C167" t="s">
        <v>14</v>
      </c>
      <c r="D167" t="s">
        <v>17</v>
      </c>
      <c r="E167" t="s">
        <v>44</v>
      </c>
      <c r="F167" t="s">
        <v>30</v>
      </c>
      <c r="G167" t="s">
        <v>31</v>
      </c>
      <c r="H167" t="s">
        <v>15</v>
      </c>
      <c r="I167" s="8">
        <v>45376</v>
      </c>
      <c r="J167">
        <v>7</v>
      </c>
      <c r="K167" t="s">
        <v>384</v>
      </c>
      <c r="L167" t="s">
        <v>106</v>
      </c>
      <c r="M167" t="s">
        <v>347</v>
      </c>
    </row>
    <row r="168" spans="1:13" x14ac:dyDescent="0.3">
      <c r="A168" t="s">
        <v>28</v>
      </c>
      <c r="B168" t="s">
        <v>29</v>
      </c>
      <c r="C168" t="s">
        <v>14</v>
      </c>
      <c r="D168" t="s">
        <v>17</v>
      </c>
      <c r="E168" t="s">
        <v>45</v>
      </c>
      <c r="F168" t="s">
        <v>30</v>
      </c>
      <c r="G168" t="s">
        <v>31</v>
      </c>
      <c r="H168" t="s">
        <v>15</v>
      </c>
      <c r="I168" s="8">
        <v>45378</v>
      </c>
      <c r="J168">
        <v>8</v>
      </c>
      <c r="K168" t="s">
        <v>385</v>
      </c>
      <c r="L168" t="s">
        <v>106</v>
      </c>
      <c r="M168" t="s">
        <v>352</v>
      </c>
    </row>
    <row r="169" spans="1:13" x14ac:dyDescent="0.3">
      <c r="A169" t="s">
        <v>28</v>
      </c>
      <c r="B169" t="s">
        <v>29</v>
      </c>
      <c r="C169" t="s">
        <v>14</v>
      </c>
      <c r="D169" t="s">
        <v>17</v>
      </c>
      <c r="E169" t="s">
        <v>45</v>
      </c>
      <c r="F169" t="s">
        <v>30</v>
      </c>
      <c r="G169" t="s">
        <v>31</v>
      </c>
      <c r="H169" t="s">
        <v>15</v>
      </c>
      <c r="I169" s="8">
        <v>45380</v>
      </c>
      <c r="J169">
        <v>10</v>
      </c>
      <c r="K169" t="s">
        <v>387</v>
      </c>
      <c r="L169" t="s">
        <v>106</v>
      </c>
      <c r="M169" t="s">
        <v>352</v>
      </c>
    </row>
    <row r="170" spans="1:13" x14ac:dyDescent="0.3">
      <c r="A170" t="s">
        <v>28</v>
      </c>
      <c r="B170" t="s">
        <v>29</v>
      </c>
      <c r="C170" t="s">
        <v>14</v>
      </c>
      <c r="D170" t="s">
        <v>17</v>
      </c>
      <c r="E170" t="s">
        <v>45</v>
      </c>
      <c r="F170" t="s">
        <v>30</v>
      </c>
      <c r="G170" t="s">
        <v>31</v>
      </c>
      <c r="H170" t="s">
        <v>15</v>
      </c>
      <c r="I170" s="8">
        <v>45384</v>
      </c>
      <c r="J170">
        <v>7</v>
      </c>
      <c r="K170" t="s">
        <v>389</v>
      </c>
      <c r="L170" t="s">
        <v>106</v>
      </c>
      <c r="M170" t="s">
        <v>352</v>
      </c>
    </row>
    <row r="171" spans="1:13" x14ac:dyDescent="0.3">
      <c r="A171" t="s">
        <v>28</v>
      </c>
      <c r="B171" t="s">
        <v>29</v>
      </c>
      <c r="C171" t="s">
        <v>14</v>
      </c>
      <c r="D171" t="s">
        <v>17</v>
      </c>
      <c r="E171" t="s">
        <v>45</v>
      </c>
      <c r="F171" t="s">
        <v>30</v>
      </c>
      <c r="G171" t="s">
        <v>31</v>
      </c>
      <c r="H171" t="s">
        <v>15</v>
      </c>
      <c r="I171" s="8">
        <v>45390</v>
      </c>
      <c r="J171">
        <v>7</v>
      </c>
      <c r="K171" t="s">
        <v>391</v>
      </c>
      <c r="L171" t="s">
        <v>106</v>
      </c>
      <c r="M171" t="s">
        <v>352</v>
      </c>
    </row>
    <row r="172" spans="1:13" x14ac:dyDescent="0.3">
      <c r="A172" t="s">
        <v>28</v>
      </c>
      <c r="B172" t="s">
        <v>29</v>
      </c>
      <c r="C172" t="s">
        <v>14</v>
      </c>
      <c r="D172" t="s">
        <v>17</v>
      </c>
      <c r="E172" t="s">
        <v>45</v>
      </c>
      <c r="F172" t="s">
        <v>30</v>
      </c>
      <c r="G172" t="s">
        <v>31</v>
      </c>
      <c r="H172" t="s">
        <v>15</v>
      </c>
      <c r="I172" s="8">
        <v>45397</v>
      </c>
      <c r="J172">
        <v>2</v>
      </c>
      <c r="K172" t="s">
        <v>392</v>
      </c>
      <c r="L172" t="s">
        <v>106</v>
      </c>
      <c r="M172" t="s">
        <v>352</v>
      </c>
    </row>
    <row r="173" spans="1:13" x14ac:dyDescent="0.3">
      <c r="A173" t="s">
        <v>28</v>
      </c>
      <c r="B173" t="s">
        <v>29</v>
      </c>
      <c r="C173" t="s">
        <v>14</v>
      </c>
      <c r="D173" t="s">
        <v>17</v>
      </c>
      <c r="E173" t="s">
        <v>45</v>
      </c>
      <c r="F173" t="s">
        <v>30</v>
      </c>
      <c r="G173" t="s">
        <v>31</v>
      </c>
      <c r="H173" t="s">
        <v>15</v>
      </c>
      <c r="I173" s="8">
        <v>45400</v>
      </c>
      <c r="J173">
        <v>1</v>
      </c>
      <c r="K173" t="s">
        <v>394</v>
      </c>
      <c r="L173" t="s">
        <v>106</v>
      </c>
      <c r="M173" t="s">
        <v>352</v>
      </c>
    </row>
    <row r="174" spans="1:13" ht="66" x14ac:dyDescent="0.3">
      <c r="A174" t="s">
        <v>28</v>
      </c>
      <c r="B174" t="s">
        <v>29</v>
      </c>
      <c r="C174" t="s">
        <v>46</v>
      </c>
      <c r="D174" t="s">
        <v>47</v>
      </c>
      <c r="E174" t="s">
        <v>48</v>
      </c>
      <c r="F174" t="s">
        <v>30</v>
      </c>
      <c r="G174" t="s">
        <v>31</v>
      </c>
      <c r="H174" s="7" t="s">
        <v>161</v>
      </c>
      <c r="I174" s="8">
        <v>45363</v>
      </c>
      <c r="J174">
        <v>8</v>
      </c>
      <c r="K174" t="s">
        <v>395</v>
      </c>
      <c r="L174" t="s">
        <v>106</v>
      </c>
      <c r="M174" t="s">
        <v>359</v>
      </c>
    </row>
    <row r="175" spans="1:13" ht="66" x14ac:dyDescent="0.3">
      <c r="A175" t="s">
        <v>28</v>
      </c>
      <c r="B175" t="s">
        <v>29</v>
      </c>
      <c r="C175" t="s">
        <v>46</v>
      </c>
      <c r="D175" t="s">
        <v>47</v>
      </c>
      <c r="E175" t="s">
        <v>48</v>
      </c>
      <c r="F175" t="s">
        <v>30</v>
      </c>
      <c r="G175" t="s">
        <v>31</v>
      </c>
      <c r="H175" s="7" t="s">
        <v>161</v>
      </c>
      <c r="I175" s="8">
        <v>45365</v>
      </c>
      <c r="J175">
        <v>5</v>
      </c>
      <c r="K175" t="s">
        <v>396</v>
      </c>
      <c r="L175" t="s">
        <v>106</v>
      </c>
      <c r="M175" t="s">
        <v>359</v>
      </c>
    </row>
    <row r="176" spans="1:13" x14ac:dyDescent="0.3">
      <c r="A176" t="s">
        <v>28</v>
      </c>
      <c r="B176" t="s">
        <v>29</v>
      </c>
      <c r="C176" t="s">
        <v>46</v>
      </c>
      <c r="D176" t="s">
        <v>47</v>
      </c>
      <c r="E176" t="s">
        <v>48</v>
      </c>
      <c r="F176" t="s">
        <v>30</v>
      </c>
      <c r="G176" t="s">
        <v>31</v>
      </c>
      <c r="H176" t="s">
        <v>16</v>
      </c>
      <c r="I176" s="8">
        <v>45349</v>
      </c>
      <c r="J176">
        <v>7</v>
      </c>
      <c r="K176" t="s">
        <v>397</v>
      </c>
      <c r="L176" t="s">
        <v>106</v>
      </c>
      <c r="M176" t="s">
        <v>359</v>
      </c>
    </row>
    <row r="177" spans="1:13" x14ac:dyDescent="0.3">
      <c r="A177" t="s">
        <v>28</v>
      </c>
      <c r="B177" t="s">
        <v>29</v>
      </c>
      <c r="C177" t="s">
        <v>163</v>
      </c>
      <c r="D177" t="s">
        <v>61</v>
      </c>
      <c r="E177" t="s">
        <v>157</v>
      </c>
      <c r="F177" t="s">
        <v>30</v>
      </c>
      <c r="G177" t="s">
        <v>31</v>
      </c>
      <c r="H177" t="s">
        <v>15</v>
      </c>
      <c r="I177" s="8">
        <v>45400</v>
      </c>
      <c r="J177">
        <v>7</v>
      </c>
      <c r="K177" t="s">
        <v>398</v>
      </c>
      <c r="L177" t="s">
        <v>106</v>
      </c>
      <c r="M177" t="s">
        <v>363</v>
      </c>
    </row>
    <row r="178" spans="1:13" x14ac:dyDescent="0.3">
      <c r="A178" t="s">
        <v>28</v>
      </c>
      <c r="B178" t="s">
        <v>29</v>
      </c>
      <c r="C178" t="s">
        <v>163</v>
      </c>
      <c r="D178" t="s">
        <v>61</v>
      </c>
      <c r="E178" t="s">
        <v>157</v>
      </c>
      <c r="F178" t="s">
        <v>30</v>
      </c>
      <c r="G178" t="s">
        <v>31</v>
      </c>
      <c r="H178" t="s">
        <v>15</v>
      </c>
      <c r="I178" s="8">
        <v>45401</v>
      </c>
      <c r="J178">
        <v>7</v>
      </c>
      <c r="K178" t="s">
        <v>399</v>
      </c>
      <c r="L178" t="s">
        <v>106</v>
      </c>
      <c r="M178" t="s">
        <v>363</v>
      </c>
    </row>
    <row r="179" spans="1:13" x14ac:dyDescent="0.3">
      <c r="A179" t="s">
        <v>28</v>
      </c>
      <c r="B179" t="s">
        <v>29</v>
      </c>
      <c r="C179" t="s">
        <v>163</v>
      </c>
      <c r="D179" t="s">
        <v>61</v>
      </c>
      <c r="E179" t="s">
        <v>157</v>
      </c>
      <c r="F179" t="s">
        <v>30</v>
      </c>
      <c r="G179" t="s">
        <v>31</v>
      </c>
      <c r="H179" t="s">
        <v>15</v>
      </c>
      <c r="I179" s="8">
        <v>45405</v>
      </c>
      <c r="J179">
        <v>7</v>
      </c>
      <c r="K179" t="s">
        <v>401</v>
      </c>
      <c r="L179" t="s">
        <v>106</v>
      </c>
      <c r="M179" t="s">
        <v>363</v>
      </c>
    </row>
    <row r="180" spans="1:13" x14ac:dyDescent="0.3">
      <c r="A180" t="s">
        <v>28</v>
      </c>
      <c r="B180" t="s">
        <v>29</v>
      </c>
      <c r="C180" t="s">
        <v>163</v>
      </c>
      <c r="D180" t="s">
        <v>61</v>
      </c>
      <c r="E180" t="s">
        <v>157</v>
      </c>
      <c r="F180" t="s">
        <v>30</v>
      </c>
      <c r="G180" t="s">
        <v>31</v>
      </c>
      <c r="H180" t="s">
        <v>15</v>
      </c>
      <c r="I180" s="8">
        <v>45407</v>
      </c>
      <c r="J180">
        <v>7</v>
      </c>
      <c r="K180" t="s">
        <v>402</v>
      </c>
      <c r="L180" t="s">
        <v>106</v>
      </c>
      <c r="M180" t="s">
        <v>363</v>
      </c>
    </row>
    <row r="181" spans="1:13" x14ac:dyDescent="0.3">
      <c r="A181" t="s">
        <v>28</v>
      </c>
      <c r="B181" t="s">
        <v>29</v>
      </c>
      <c r="C181" t="s">
        <v>163</v>
      </c>
      <c r="D181" t="s">
        <v>61</v>
      </c>
      <c r="E181" t="s">
        <v>157</v>
      </c>
      <c r="F181" t="s">
        <v>30</v>
      </c>
      <c r="G181" t="s">
        <v>31</v>
      </c>
      <c r="H181" t="s">
        <v>15</v>
      </c>
      <c r="I181" s="8">
        <v>45411</v>
      </c>
      <c r="J181">
        <v>6</v>
      </c>
      <c r="K181" t="s">
        <v>403</v>
      </c>
      <c r="L181" t="s">
        <v>106</v>
      </c>
      <c r="M181" t="s">
        <v>363</v>
      </c>
    </row>
    <row r="182" spans="1:13" x14ac:dyDescent="0.3">
      <c r="A182" t="s">
        <v>28</v>
      </c>
      <c r="B182" t="s">
        <v>29</v>
      </c>
      <c r="C182" t="s">
        <v>163</v>
      </c>
      <c r="D182" t="s">
        <v>61</v>
      </c>
      <c r="E182" t="s">
        <v>157</v>
      </c>
      <c r="F182" t="s">
        <v>30</v>
      </c>
      <c r="G182" t="s">
        <v>31</v>
      </c>
      <c r="H182" t="s">
        <v>15</v>
      </c>
      <c r="I182" s="8">
        <v>45421</v>
      </c>
      <c r="J182">
        <v>6</v>
      </c>
      <c r="K182" t="s">
        <v>404</v>
      </c>
      <c r="L182" t="s">
        <v>106</v>
      </c>
      <c r="M182" t="s">
        <v>363</v>
      </c>
    </row>
    <row r="183" spans="1:13" x14ac:dyDescent="0.3">
      <c r="A183" t="s">
        <v>28</v>
      </c>
      <c r="B183" t="s">
        <v>29</v>
      </c>
      <c r="C183" t="s">
        <v>163</v>
      </c>
      <c r="D183" t="s">
        <v>61</v>
      </c>
      <c r="E183" t="s">
        <v>157</v>
      </c>
      <c r="F183" t="s">
        <v>30</v>
      </c>
      <c r="G183" t="s">
        <v>31</v>
      </c>
      <c r="H183" t="s">
        <v>15</v>
      </c>
      <c r="I183" s="8">
        <v>45435</v>
      </c>
      <c r="J183">
        <v>5</v>
      </c>
      <c r="K183" t="s">
        <v>405</v>
      </c>
      <c r="L183" t="s">
        <v>106</v>
      </c>
      <c r="M183" t="s">
        <v>363</v>
      </c>
    </row>
    <row r="184" spans="1:13" x14ac:dyDescent="0.3">
      <c r="A184" t="s">
        <v>28</v>
      </c>
      <c r="B184" t="s">
        <v>29</v>
      </c>
      <c r="C184" t="s">
        <v>163</v>
      </c>
      <c r="D184" t="s">
        <v>61</v>
      </c>
      <c r="E184" t="s">
        <v>157</v>
      </c>
      <c r="F184" t="s">
        <v>30</v>
      </c>
      <c r="G184" t="s">
        <v>31</v>
      </c>
      <c r="H184" t="s">
        <v>15</v>
      </c>
      <c r="I184" s="8">
        <v>45443</v>
      </c>
      <c r="J184">
        <v>5</v>
      </c>
      <c r="K184" t="s">
        <v>406</v>
      </c>
      <c r="L184" t="s">
        <v>106</v>
      </c>
      <c r="M184" t="s">
        <v>363</v>
      </c>
    </row>
    <row r="185" spans="1:13" x14ac:dyDescent="0.3">
      <c r="A185" t="s">
        <v>28</v>
      </c>
      <c r="B185" t="s">
        <v>107</v>
      </c>
      <c r="C185" t="s">
        <v>14</v>
      </c>
      <c r="D185" t="s">
        <v>17</v>
      </c>
      <c r="E185" t="s">
        <v>18</v>
      </c>
      <c r="F185" t="s">
        <v>32</v>
      </c>
      <c r="G185" t="s">
        <v>148</v>
      </c>
      <c r="I185" s="8">
        <v>45316</v>
      </c>
      <c r="J185">
        <v>4</v>
      </c>
      <c r="K185" t="s">
        <v>408</v>
      </c>
      <c r="L185" t="s">
        <v>110</v>
      </c>
      <c r="M185" t="s">
        <v>372</v>
      </c>
    </row>
    <row r="186" spans="1:13" x14ac:dyDescent="0.3">
      <c r="A186" t="s">
        <v>28</v>
      </c>
      <c r="B186" t="s">
        <v>107</v>
      </c>
      <c r="C186" t="s">
        <v>14</v>
      </c>
      <c r="D186" t="s">
        <v>17</v>
      </c>
      <c r="E186" t="s">
        <v>18</v>
      </c>
      <c r="F186" t="s">
        <v>32</v>
      </c>
      <c r="G186" t="s">
        <v>148</v>
      </c>
      <c r="I186" s="8">
        <v>45321</v>
      </c>
      <c r="J186">
        <v>3</v>
      </c>
      <c r="K186" t="s">
        <v>409</v>
      </c>
      <c r="L186" t="s">
        <v>110</v>
      </c>
      <c r="M186" t="s">
        <v>372</v>
      </c>
    </row>
    <row r="187" spans="1:13" x14ac:dyDescent="0.3">
      <c r="A187" t="s">
        <v>28</v>
      </c>
      <c r="B187" t="s">
        <v>107</v>
      </c>
      <c r="C187" t="s">
        <v>14</v>
      </c>
      <c r="D187" t="s">
        <v>17</v>
      </c>
      <c r="E187" t="s">
        <v>18</v>
      </c>
      <c r="F187" t="s">
        <v>32</v>
      </c>
      <c r="G187" t="s">
        <v>148</v>
      </c>
      <c r="I187" s="8">
        <v>45358</v>
      </c>
      <c r="J187">
        <v>4</v>
      </c>
      <c r="K187" t="s">
        <v>411</v>
      </c>
      <c r="L187" t="s">
        <v>110</v>
      </c>
      <c r="M187" t="s">
        <v>372</v>
      </c>
    </row>
    <row r="188" spans="1:13" x14ac:dyDescent="0.3">
      <c r="A188" t="s">
        <v>28</v>
      </c>
      <c r="B188" t="s">
        <v>107</v>
      </c>
      <c r="C188" t="s">
        <v>14</v>
      </c>
      <c r="D188" t="s">
        <v>17</v>
      </c>
      <c r="E188" t="s">
        <v>18</v>
      </c>
      <c r="F188" t="s">
        <v>32</v>
      </c>
      <c r="G188" t="s">
        <v>148</v>
      </c>
      <c r="I188" s="8">
        <v>45364</v>
      </c>
      <c r="J188">
        <v>1</v>
      </c>
      <c r="K188" t="s">
        <v>413</v>
      </c>
      <c r="L188" t="s">
        <v>110</v>
      </c>
      <c r="M188" t="s">
        <v>372</v>
      </c>
    </row>
    <row r="189" spans="1:13" x14ac:dyDescent="0.3">
      <c r="A189" t="s">
        <v>28</v>
      </c>
      <c r="B189" t="s">
        <v>107</v>
      </c>
      <c r="C189" t="s">
        <v>14</v>
      </c>
      <c r="D189" t="s">
        <v>17</v>
      </c>
      <c r="E189" t="s">
        <v>18</v>
      </c>
      <c r="F189" t="s">
        <v>118</v>
      </c>
      <c r="G189" t="s">
        <v>119</v>
      </c>
      <c r="I189" s="8">
        <v>45338</v>
      </c>
      <c r="J189">
        <v>7</v>
      </c>
      <c r="K189" t="s">
        <v>415</v>
      </c>
      <c r="L189" t="s">
        <v>110</v>
      </c>
      <c r="M189" t="s">
        <v>377</v>
      </c>
    </row>
    <row r="190" spans="1:13" x14ac:dyDescent="0.3">
      <c r="A190" t="s">
        <v>28</v>
      </c>
      <c r="B190" t="s">
        <v>107</v>
      </c>
      <c r="C190" t="s">
        <v>14</v>
      </c>
      <c r="D190" t="s">
        <v>17</v>
      </c>
      <c r="E190" t="s">
        <v>18</v>
      </c>
      <c r="F190" t="s">
        <v>120</v>
      </c>
      <c r="G190" t="s">
        <v>149</v>
      </c>
      <c r="I190" s="8">
        <v>45364</v>
      </c>
      <c r="J190">
        <v>1</v>
      </c>
      <c r="K190" t="s">
        <v>417</v>
      </c>
      <c r="L190" t="s">
        <v>110</v>
      </c>
      <c r="M190" t="s">
        <v>379</v>
      </c>
    </row>
    <row r="191" spans="1:13" x14ac:dyDescent="0.3">
      <c r="A191" t="s">
        <v>28</v>
      </c>
      <c r="B191" t="s">
        <v>107</v>
      </c>
      <c r="C191" t="s">
        <v>46</v>
      </c>
      <c r="D191" t="s">
        <v>47</v>
      </c>
      <c r="E191" t="s">
        <v>48</v>
      </c>
      <c r="F191" t="s">
        <v>32</v>
      </c>
      <c r="G191" t="s">
        <v>52</v>
      </c>
      <c r="I191" s="8">
        <v>45350</v>
      </c>
      <c r="J191">
        <v>4</v>
      </c>
      <c r="K191" t="s">
        <v>418</v>
      </c>
      <c r="L191" t="s">
        <v>110</v>
      </c>
      <c r="M191" t="s">
        <v>381</v>
      </c>
    </row>
    <row r="192" spans="1:13" x14ac:dyDescent="0.3">
      <c r="A192" t="s">
        <v>28</v>
      </c>
      <c r="B192" t="s">
        <v>107</v>
      </c>
      <c r="C192" t="s">
        <v>126</v>
      </c>
      <c r="D192" t="s">
        <v>127</v>
      </c>
      <c r="E192" t="s">
        <v>128</v>
      </c>
      <c r="F192" t="s">
        <v>32</v>
      </c>
      <c r="G192" t="s">
        <v>148</v>
      </c>
      <c r="I192" s="8">
        <v>45372</v>
      </c>
      <c r="J192">
        <v>4</v>
      </c>
      <c r="K192" t="s">
        <v>420</v>
      </c>
      <c r="L192" t="s">
        <v>110</v>
      </c>
      <c r="M192" t="s">
        <v>383</v>
      </c>
    </row>
    <row r="193" spans="1:13" x14ac:dyDescent="0.3">
      <c r="A193" t="s">
        <v>28</v>
      </c>
      <c r="B193" t="s">
        <v>107</v>
      </c>
      <c r="C193" t="s">
        <v>126</v>
      </c>
      <c r="D193" t="s">
        <v>127</v>
      </c>
      <c r="E193" t="s">
        <v>128</v>
      </c>
      <c r="F193" t="s">
        <v>32</v>
      </c>
      <c r="G193" t="s">
        <v>148</v>
      </c>
      <c r="I193" s="8">
        <v>45379</v>
      </c>
      <c r="J193">
        <v>3</v>
      </c>
      <c r="K193" t="s">
        <v>422</v>
      </c>
      <c r="L193" t="s">
        <v>110</v>
      </c>
      <c r="M193" t="s">
        <v>383</v>
      </c>
    </row>
    <row r="194" spans="1:13" x14ac:dyDescent="0.3">
      <c r="A194" t="s">
        <v>28</v>
      </c>
      <c r="B194" t="s">
        <v>33</v>
      </c>
      <c r="C194" t="s">
        <v>49</v>
      </c>
      <c r="D194" t="s">
        <v>50</v>
      </c>
      <c r="E194" t="s">
        <v>51</v>
      </c>
      <c r="F194" t="s">
        <v>54</v>
      </c>
      <c r="G194" t="s">
        <v>55</v>
      </c>
      <c r="I194" s="8">
        <v>45328</v>
      </c>
      <c r="J194">
        <v>4</v>
      </c>
      <c r="K194" t="s">
        <v>424</v>
      </c>
      <c r="L194" t="s">
        <v>106</v>
      </c>
      <c r="M194" t="s">
        <v>386</v>
      </c>
    </row>
    <row r="195" spans="1:13" x14ac:dyDescent="0.3">
      <c r="A195" t="s">
        <v>28</v>
      </c>
      <c r="B195" t="s">
        <v>33</v>
      </c>
      <c r="C195" t="s">
        <v>22</v>
      </c>
      <c r="D195" t="s">
        <v>23</v>
      </c>
      <c r="E195" t="s">
        <v>27</v>
      </c>
      <c r="F195" t="s">
        <v>34</v>
      </c>
      <c r="G195" t="s">
        <v>35</v>
      </c>
      <c r="I195" s="8">
        <v>45328</v>
      </c>
      <c r="J195">
        <v>6</v>
      </c>
      <c r="K195" t="s">
        <v>425</v>
      </c>
      <c r="L195" t="s">
        <v>106</v>
      </c>
      <c r="M195" t="s">
        <v>388</v>
      </c>
    </row>
    <row r="196" spans="1:13" x14ac:dyDescent="0.3">
      <c r="A196" t="s">
        <v>28</v>
      </c>
      <c r="B196" t="s">
        <v>33</v>
      </c>
      <c r="C196" t="s">
        <v>142</v>
      </c>
      <c r="D196" t="s">
        <v>143</v>
      </c>
      <c r="E196" t="s">
        <v>144</v>
      </c>
      <c r="F196" t="s">
        <v>123</v>
      </c>
      <c r="G196" t="s">
        <v>150</v>
      </c>
      <c r="I196" s="8">
        <v>45385</v>
      </c>
      <c r="J196">
        <v>8</v>
      </c>
      <c r="K196" t="s">
        <v>427</v>
      </c>
      <c r="L196" t="s">
        <v>106</v>
      </c>
      <c r="M196" t="s">
        <v>390</v>
      </c>
    </row>
    <row r="197" spans="1:13" x14ac:dyDescent="0.3">
      <c r="A197" t="s">
        <v>28</v>
      </c>
      <c r="B197" t="s">
        <v>33</v>
      </c>
      <c r="C197" t="s">
        <v>142</v>
      </c>
      <c r="D197" t="s">
        <v>143</v>
      </c>
      <c r="E197" t="s">
        <v>144</v>
      </c>
      <c r="F197" t="s">
        <v>123</v>
      </c>
      <c r="G197" t="s">
        <v>150</v>
      </c>
      <c r="I197" s="8">
        <v>45387</v>
      </c>
      <c r="J197">
        <v>8</v>
      </c>
      <c r="K197" t="s">
        <v>429</v>
      </c>
      <c r="L197" t="s">
        <v>106</v>
      </c>
      <c r="M197" t="s">
        <v>390</v>
      </c>
    </row>
    <row r="198" spans="1:13" x14ac:dyDescent="0.3">
      <c r="A198" t="s">
        <v>28</v>
      </c>
      <c r="B198" t="s">
        <v>33</v>
      </c>
      <c r="C198" t="s">
        <v>116</v>
      </c>
      <c r="D198" t="s">
        <v>146</v>
      </c>
      <c r="E198" t="s">
        <v>147</v>
      </c>
      <c r="F198" t="s">
        <v>122</v>
      </c>
      <c r="G198" t="s">
        <v>124</v>
      </c>
      <c r="I198" s="8">
        <v>45426</v>
      </c>
      <c r="J198">
        <v>7</v>
      </c>
      <c r="K198" t="s">
        <v>431</v>
      </c>
      <c r="L198" t="s">
        <v>106</v>
      </c>
      <c r="M198" t="s">
        <v>393</v>
      </c>
    </row>
    <row r="199" spans="1:13" x14ac:dyDescent="0.3">
      <c r="A199" t="s">
        <v>28</v>
      </c>
      <c r="B199" t="s">
        <v>33</v>
      </c>
      <c r="C199" t="s">
        <v>116</v>
      </c>
      <c r="D199" t="s">
        <v>146</v>
      </c>
      <c r="E199" t="s">
        <v>147</v>
      </c>
      <c r="F199" t="s">
        <v>122</v>
      </c>
      <c r="G199" t="s">
        <v>124</v>
      </c>
      <c r="I199" s="8">
        <v>45433</v>
      </c>
      <c r="J199">
        <v>6</v>
      </c>
      <c r="K199" t="s">
        <v>433</v>
      </c>
      <c r="L199" t="s">
        <v>106</v>
      </c>
      <c r="M199" t="s">
        <v>393</v>
      </c>
    </row>
    <row r="200" spans="1:13" x14ac:dyDescent="0.3">
      <c r="A200" t="s">
        <v>28</v>
      </c>
      <c r="B200" t="s">
        <v>33</v>
      </c>
      <c r="C200" t="s">
        <v>116</v>
      </c>
      <c r="D200" t="s">
        <v>146</v>
      </c>
      <c r="E200" t="s">
        <v>147</v>
      </c>
      <c r="F200" t="s">
        <v>122</v>
      </c>
      <c r="G200" t="s">
        <v>124</v>
      </c>
      <c r="I200" s="8">
        <v>45436</v>
      </c>
      <c r="J200">
        <v>7</v>
      </c>
      <c r="K200" t="s">
        <v>473</v>
      </c>
      <c r="L200" t="s">
        <v>106</v>
      </c>
      <c r="M200" t="s">
        <v>393</v>
      </c>
    </row>
    <row r="201" spans="1:13" x14ac:dyDescent="0.3">
      <c r="A201" t="s">
        <v>28</v>
      </c>
      <c r="B201" t="s">
        <v>33</v>
      </c>
      <c r="C201" t="s">
        <v>116</v>
      </c>
      <c r="D201" t="s">
        <v>146</v>
      </c>
      <c r="E201" t="s">
        <v>147</v>
      </c>
      <c r="F201" t="s">
        <v>122</v>
      </c>
      <c r="G201" t="s">
        <v>124</v>
      </c>
      <c r="I201" s="8">
        <v>45440</v>
      </c>
      <c r="J201">
        <v>5</v>
      </c>
      <c r="K201" t="s">
        <v>474</v>
      </c>
      <c r="L201" t="s">
        <v>106</v>
      </c>
      <c r="M201" t="s">
        <v>393</v>
      </c>
    </row>
    <row r="202" spans="1:13" x14ac:dyDescent="0.3">
      <c r="A202" t="s">
        <v>28</v>
      </c>
      <c r="B202" t="s">
        <v>33</v>
      </c>
      <c r="C202" t="s">
        <v>116</v>
      </c>
      <c r="D202" t="s">
        <v>146</v>
      </c>
      <c r="E202" t="s">
        <v>147</v>
      </c>
      <c r="F202" t="s">
        <v>122</v>
      </c>
      <c r="G202" t="s">
        <v>124</v>
      </c>
      <c r="I202" s="8">
        <v>45443</v>
      </c>
      <c r="J202">
        <v>1</v>
      </c>
      <c r="K202" t="s">
        <v>475</v>
      </c>
      <c r="L202" t="s">
        <v>106</v>
      </c>
      <c r="M202" t="s">
        <v>393</v>
      </c>
    </row>
    <row r="203" spans="1:13" x14ac:dyDescent="0.3">
      <c r="A203" t="s">
        <v>28</v>
      </c>
      <c r="B203" t="s">
        <v>33</v>
      </c>
      <c r="C203" t="s">
        <v>116</v>
      </c>
      <c r="D203" t="s">
        <v>146</v>
      </c>
      <c r="E203" t="s">
        <v>147</v>
      </c>
      <c r="F203" t="s">
        <v>122</v>
      </c>
      <c r="G203" t="s">
        <v>124</v>
      </c>
      <c r="I203" s="8">
        <v>45447</v>
      </c>
      <c r="J203">
        <v>6</v>
      </c>
      <c r="K203" t="s">
        <v>476</v>
      </c>
      <c r="L203" t="s">
        <v>106</v>
      </c>
      <c r="M203" t="s">
        <v>393</v>
      </c>
    </row>
    <row r="204" spans="1:13" x14ac:dyDescent="0.3">
      <c r="A204" t="s">
        <v>28</v>
      </c>
      <c r="B204" t="s">
        <v>33</v>
      </c>
      <c r="C204" t="s">
        <v>49</v>
      </c>
      <c r="D204" t="s">
        <v>164</v>
      </c>
      <c r="E204" t="s">
        <v>165</v>
      </c>
      <c r="F204" t="s">
        <v>170</v>
      </c>
      <c r="G204" t="s">
        <v>171</v>
      </c>
      <c r="I204" s="8">
        <v>45448</v>
      </c>
      <c r="J204">
        <v>5</v>
      </c>
      <c r="K204" t="s">
        <v>477</v>
      </c>
      <c r="L204" t="s">
        <v>106</v>
      </c>
      <c r="M204" t="s">
        <v>400</v>
      </c>
    </row>
    <row r="205" spans="1:13" x14ac:dyDescent="0.3">
      <c r="A205" t="s">
        <v>28</v>
      </c>
      <c r="B205" t="s">
        <v>33</v>
      </c>
      <c r="C205" t="s">
        <v>49</v>
      </c>
      <c r="D205" t="s">
        <v>164</v>
      </c>
      <c r="E205" t="s">
        <v>165</v>
      </c>
      <c r="F205" t="s">
        <v>170</v>
      </c>
      <c r="G205" t="s">
        <v>171</v>
      </c>
      <c r="I205" s="8">
        <v>45453</v>
      </c>
      <c r="J205">
        <v>6</v>
      </c>
      <c r="K205" t="s">
        <v>478</v>
      </c>
      <c r="L205" t="s">
        <v>106</v>
      </c>
      <c r="M205" t="s">
        <v>400</v>
      </c>
    </row>
    <row r="206" spans="1:13" x14ac:dyDescent="0.3">
      <c r="A206" t="s">
        <v>28</v>
      </c>
      <c r="B206" t="s">
        <v>33</v>
      </c>
      <c r="C206" t="s">
        <v>49</v>
      </c>
      <c r="D206" t="s">
        <v>164</v>
      </c>
      <c r="E206" t="s">
        <v>165</v>
      </c>
      <c r="F206" t="s">
        <v>170</v>
      </c>
      <c r="G206" t="s">
        <v>171</v>
      </c>
      <c r="I206" s="8">
        <v>45455</v>
      </c>
      <c r="J206">
        <v>6</v>
      </c>
      <c r="K206" t="s">
        <v>479</v>
      </c>
      <c r="L206" t="s">
        <v>106</v>
      </c>
      <c r="M206" t="s">
        <v>400</v>
      </c>
    </row>
    <row r="207" spans="1:13" x14ac:dyDescent="0.3">
      <c r="A207" t="s">
        <v>28</v>
      </c>
      <c r="B207" t="s">
        <v>33</v>
      </c>
      <c r="C207" t="s">
        <v>49</v>
      </c>
      <c r="D207" t="s">
        <v>164</v>
      </c>
      <c r="E207" t="s">
        <v>165</v>
      </c>
      <c r="F207" t="s">
        <v>170</v>
      </c>
      <c r="G207" t="s">
        <v>171</v>
      </c>
      <c r="I207" s="8">
        <v>45457</v>
      </c>
      <c r="J207">
        <v>6</v>
      </c>
      <c r="K207" t="s">
        <v>480</v>
      </c>
      <c r="L207" t="s">
        <v>106</v>
      </c>
      <c r="M207" t="s">
        <v>400</v>
      </c>
    </row>
    <row r="208" spans="1:13" x14ac:dyDescent="0.3">
      <c r="A208" t="s">
        <v>28</v>
      </c>
      <c r="B208" t="s">
        <v>33</v>
      </c>
      <c r="C208" t="s">
        <v>49</v>
      </c>
      <c r="D208" t="s">
        <v>164</v>
      </c>
      <c r="E208" t="s">
        <v>165</v>
      </c>
      <c r="F208" t="s">
        <v>170</v>
      </c>
      <c r="G208" t="s">
        <v>171</v>
      </c>
      <c r="I208" s="8">
        <v>45460</v>
      </c>
      <c r="J208">
        <v>4</v>
      </c>
      <c r="K208" t="s">
        <v>481</v>
      </c>
      <c r="L208" t="s">
        <v>106</v>
      </c>
      <c r="M208" t="s">
        <v>400</v>
      </c>
    </row>
    <row r="209" spans="1:13" x14ac:dyDescent="0.3">
      <c r="A209" t="s">
        <v>28</v>
      </c>
      <c r="B209" t="s">
        <v>33</v>
      </c>
      <c r="C209" t="s">
        <v>49</v>
      </c>
      <c r="D209" t="s">
        <v>164</v>
      </c>
      <c r="E209" t="s">
        <v>165</v>
      </c>
      <c r="F209" t="s">
        <v>170</v>
      </c>
      <c r="G209" t="s">
        <v>171</v>
      </c>
      <c r="I209" s="8">
        <v>45462</v>
      </c>
      <c r="J209">
        <v>3</v>
      </c>
      <c r="K209" t="s">
        <v>482</v>
      </c>
      <c r="L209" t="s">
        <v>106</v>
      </c>
      <c r="M209" t="s">
        <v>400</v>
      </c>
    </row>
    <row r="210" spans="1:13" x14ac:dyDescent="0.3">
      <c r="A210" t="s">
        <v>28</v>
      </c>
      <c r="B210" t="s">
        <v>33</v>
      </c>
      <c r="C210" t="s">
        <v>49</v>
      </c>
      <c r="D210" t="s">
        <v>164</v>
      </c>
      <c r="E210" t="s">
        <v>168</v>
      </c>
      <c r="F210" t="s">
        <v>170</v>
      </c>
      <c r="G210" t="s">
        <v>171</v>
      </c>
      <c r="I210" s="8">
        <v>45448</v>
      </c>
      <c r="J210">
        <v>1</v>
      </c>
      <c r="K210" t="s">
        <v>483</v>
      </c>
      <c r="L210" t="s">
        <v>106</v>
      </c>
      <c r="M210" t="s">
        <v>407</v>
      </c>
    </row>
    <row r="211" spans="1:13" x14ac:dyDescent="0.3">
      <c r="A211" t="s">
        <v>28</v>
      </c>
      <c r="B211" t="s">
        <v>33</v>
      </c>
      <c r="C211" t="s">
        <v>49</v>
      </c>
      <c r="D211" t="s">
        <v>164</v>
      </c>
      <c r="E211" t="s">
        <v>446</v>
      </c>
      <c r="F211" t="s">
        <v>54</v>
      </c>
      <c r="G211" t="s">
        <v>55</v>
      </c>
      <c r="I211" s="8">
        <v>45454</v>
      </c>
      <c r="J211">
        <v>1</v>
      </c>
      <c r="K211" t="s">
        <v>484</v>
      </c>
      <c r="L211" t="s">
        <v>106</v>
      </c>
      <c r="M211" t="s">
        <v>485</v>
      </c>
    </row>
    <row r="212" spans="1:13" x14ac:dyDescent="0.3">
      <c r="A212" t="s">
        <v>28</v>
      </c>
      <c r="B212" t="s">
        <v>33</v>
      </c>
      <c r="C212" t="s">
        <v>447</v>
      </c>
      <c r="D212" t="s">
        <v>448</v>
      </c>
      <c r="E212" t="s">
        <v>449</v>
      </c>
      <c r="F212" t="s">
        <v>34</v>
      </c>
      <c r="G212" t="s">
        <v>35</v>
      </c>
      <c r="I212" s="8">
        <v>45520</v>
      </c>
      <c r="J212">
        <v>4</v>
      </c>
      <c r="K212" t="s">
        <v>486</v>
      </c>
      <c r="L212" t="s">
        <v>106</v>
      </c>
      <c r="M212" t="s">
        <v>487</v>
      </c>
    </row>
    <row r="213" spans="1:13" x14ac:dyDescent="0.3">
      <c r="A213" t="s">
        <v>28</v>
      </c>
      <c r="B213" t="s">
        <v>33</v>
      </c>
      <c r="C213" t="s">
        <v>447</v>
      </c>
      <c r="D213" t="s">
        <v>448</v>
      </c>
      <c r="E213" t="s">
        <v>450</v>
      </c>
      <c r="F213" t="s">
        <v>123</v>
      </c>
      <c r="G213" t="s">
        <v>451</v>
      </c>
      <c r="I213" s="8">
        <v>45520</v>
      </c>
      <c r="J213">
        <v>1</v>
      </c>
      <c r="K213" t="s">
        <v>488</v>
      </c>
      <c r="L213" t="s">
        <v>106</v>
      </c>
      <c r="M213" t="s">
        <v>489</v>
      </c>
    </row>
    <row r="214" spans="1:13" x14ac:dyDescent="0.3">
      <c r="A214" t="s">
        <v>28</v>
      </c>
      <c r="B214" t="s">
        <v>33</v>
      </c>
      <c r="C214" t="s">
        <v>447</v>
      </c>
      <c r="D214" t="s">
        <v>448</v>
      </c>
      <c r="E214" t="s">
        <v>450</v>
      </c>
      <c r="F214" t="s">
        <v>123</v>
      </c>
      <c r="G214" t="s">
        <v>451</v>
      </c>
      <c r="I214" s="8">
        <v>45523</v>
      </c>
      <c r="J214">
        <v>5</v>
      </c>
      <c r="K214" t="s">
        <v>490</v>
      </c>
      <c r="L214" t="s">
        <v>106</v>
      </c>
      <c r="M214" t="s">
        <v>489</v>
      </c>
    </row>
    <row r="215" spans="1:13" x14ac:dyDescent="0.3">
      <c r="A215" t="s">
        <v>28</v>
      </c>
      <c r="B215" t="s">
        <v>33</v>
      </c>
      <c r="C215" t="s">
        <v>447</v>
      </c>
      <c r="D215" t="s">
        <v>448</v>
      </c>
      <c r="E215" t="s">
        <v>450</v>
      </c>
      <c r="F215" t="s">
        <v>123</v>
      </c>
      <c r="G215" t="s">
        <v>451</v>
      </c>
      <c r="I215" s="8">
        <v>45525</v>
      </c>
      <c r="J215">
        <v>5</v>
      </c>
      <c r="K215" t="s">
        <v>491</v>
      </c>
      <c r="L215" t="s">
        <v>106</v>
      </c>
      <c r="M215" t="s">
        <v>489</v>
      </c>
    </row>
    <row r="216" spans="1:13" x14ac:dyDescent="0.3">
      <c r="A216" t="s">
        <v>28</v>
      </c>
      <c r="B216" t="s">
        <v>33</v>
      </c>
      <c r="C216" t="s">
        <v>447</v>
      </c>
      <c r="D216" t="s">
        <v>448</v>
      </c>
      <c r="E216" t="s">
        <v>450</v>
      </c>
      <c r="F216" t="s">
        <v>123</v>
      </c>
      <c r="G216" t="s">
        <v>451</v>
      </c>
      <c r="I216" s="8">
        <v>45526</v>
      </c>
      <c r="J216">
        <v>5</v>
      </c>
      <c r="K216" t="s">
        <v>492</v>
      </c>
      <c r="L216" t="s">
        <v>106</v>
      </c>
      <c r="M216" t="s">
        <v>489</v>
      </c>
    </row>
    <row r="217" spans="1:13" x14ac:dyDescent="0.3">
      <c r="A217" t="s">
        <v>28</v>
      </c>
      <c r="B217" t="s">
        <v>33</v>
      </c>
      <c r="C217" t="s">
        <v>447</v>
      </c>
      <c r="D217" t="s">
        <v>448</v>
      </c>
      <c r="E217" t="s">
        <v>450</v>
      </c>
      <c r="F217" t="s">
        <v>123</v>
      </c>
      <c r="G217" t="s">
        <v>451</v>
      </c>
      <c r="I217" s="8">
        <v>45530</v>
      </c>
      <c r="J217">
        <v>5</v>
      </c>
      <c r="K217" t="s">
        <v>493</v>
      </c>
      <c r="L217" t="s">
        <v>106</v>
      </c>
      <c r="M217" t="s">
        <v>489</v>
      </c>
    </row>
    <row r="218" spans="1:13" x14ac:dyDescent="0.3">
      <c r="A218" t="s">
        <v>28</v>
      </c>
      <c r="B218" t="s">
        <v>33</v>
      </c>
      <c r="C218" t="s">
        <v>447</v>
      </c>
      <c r="D218" t="s">
        <v>448</v>
      </c>
      <c r="E218" t="s">
        <v>450</v>
      </c>
      <c r="F218" t="s">
        <v>123</v>
      </c>
      <c r="G218" t="s">
        <v>451</v>
      </c>
      <c r="I218" s="8">
        <v>45531</v>
      </c>
      <c r="J218">
        <v>5</v>
      </c>
      <c r="K218" t="s">
        <v>494</v>
      </c>
      <c r="L218" t="s">
        <v>106</v>
      </c>
      <c r="M218" t="s">
        <v>489</v>
      </c>
    </row>
    <row r="219" spans="1:13" x14ac:dyDescent="0.3">
      <c r="A219" t="s">
        <v>28</v>
      </c>
      <c r="B219" t="s">
        <v>33</v>
      </c>
      <c r="C219" t="s">
        <v>447</v>
      </c>
      <c r="D219" t="s">
        <v>448</v>
      </c>
      <c r="E219" t="s">
        <v>450</v>
      </c>
      <c r="F219" t="s">
        <v>123</v>
      </c>
      <c r="G219" t="s">
        <v>451</v>
      </c>
      <c r="I219" s="8">
        <v>45533</v>
      </c>
      <c r="J219">
        <v>6</v>
      </c>
      <c r="K219" t="s">
        <v>495</v>
      </c>
      <c r="L219" t="s">
        <v>106</v>
      </c>
      <c r="M219" t="s">
        <v>489</v>
      </c>
    </row>
    <row r="220" spans="1:13" x14ac:dyDescent="0.3">
      <c r="A220" t="s">
        <v>28</v>
      </c>
      <c r="B220" t="s">
        <v>108</v>
      </c>
      <c r="C220" t="s">
        <v>26</v>
      </c>
      <c r="D220" t="s">
        <v>57</v>
      </c>
      <c r="E220" t="s">
        <v>53</v>
      </c>
      <c r="F220" t="s">
        <v>36</v>
      </c>
      <c r="G220" t="s">
        <v>37</v>
      </c>
      <c r="I220" s="8">
        <v>45294</v>
      </c>
      <c r="J220">
        <v>2</v>
      </c>
      <c r="K220" t="s">
        <v>496</v>
      </c>
      <c r="L220" t="s">
        <v>110</v>
      </c>
      <c r="M220" t="s">
        <v>410</v>
      </c>
    </row>
    <row r="221" spans="1:13" x14ac:dyDescent="0.3">
      <c r="A221" t="s">
        <v>28</v>
      </c>
      <c r="B221" t="s">
        <v>109</v>
      </c>
      <c r="C221" t="s">
        <v>26</v>
      </c>
      <c r="D221" t="s">
        <v>57</v>
      </c>
      <c r="E221" t="s">
        <v>53</v>
      </c>
      <c r="F221" t="s">
        <v>38</v>
      </c>
      <c r="G221" t="s">
        <v>39</v>
      </c>
      <c r="I221" s="8">
        <v>45309</v>
      </c>
      <c r="J221">
        <v>2</v>
      </c>
      <c r="K221" t="s">
        <v>497</v>
      </c>
      <c r="L221" t="s">
        <v>110</v>
      </c>
      <c r="M221" t="s">
        <v>412</v>
      </c>
    </row>
    <row r="222" spans="1:13" x14ac:dyDescent="0.3">
      <c r="A222" t="s">
        <v>28</v>
      </c>
      <c r="B222" t="s">
        <v>162</v>
      </c>
      <c r="C222" t="s">
        <v>49</v>
      </c>
      <c r="D222" t="s">
        <v>50</v>
      </c>
      <c r="E222" t="s">
        <v>51</v>
      </c>
      <c r="F222" t="s">
        <v>58</v>
      </c>
      <c r="G222" t="s">
        <v>59</v>
      </c>
      <c r="I222" s="8">
        <v>45328</v>
      </c>
      <c r="J222">
        <v>4</v>
      </c>
      <c r="K222" t="s">
        <v>498</v>
      </c>
      <c r="L222" t="s">
        <v>110</v>
      </c>
      <c r="M222" t="s">
        <v>414</v>
      </c>
    </row>
    <row r="223" spans="1:13" x14ac:dyDescent="0.3">
      <c r="A223" t="s">
        <v>28</v>
      </c>
      <c r="B223" t="s">
        <v>162</v>
      </c>
      <c r="C223" t="s">
        <v>22</v>
      </c>
      <c r="D223" t="s">
        <v>23</v>
      </c>
      <c r="E223" t="s">
        <v>151</v>
      </c>
      <c r="F223" t="s">
        <v>62</v>
      </c>
      <c r="G223" t="s">
        <v>63</v>
      </c>
      <c r="I223" s="8">
        <v>45342</v>
      </c>
      <c r="J223">
        <v>5</v>
      </c>
      <c r="K223" t="s">
        <v>499</v>
      </c>
      <c r="L223" t="s">
        <v>110</v>
      </c>
      <c r="M223" t="s">
        <v>416</v>
      </c>
    </row>
    <row r="224" spans="1:13" x14ac:dyDescent="0.3">
      <c r="A224" t="s">
        <v>28</v>
      </c>
      <c r="B224" t="s">
        <v>162</v>
      </c>
      <c r="C224" t="s">
        <v>22</v>
      </c>
      <c r="D224" t="s">
        <v>23</v>
      </c>
      <c r="E224" t="s">
        <v>151</v>
      </c>
      <c r="F224" t="s">
        <v>62</v>
      </c>
      <c r="G224" t="s">
        <v>63</v>
      </c>
      <c r="I224" s="8">
        <v>45345</v>
      </c>
      <c r="J224">
        <v>5</v>
      </c>
      <c r="K224" t="s">
        <v>500</v>
      </c>
      <c r="L224" t="s">
        <v>110</v>
      </c>
      <c r="M224" t="s">
        <v>416</v>
      </c>
    </row>
    <row r="225" spans="1:13" x14ac:dyDescent="0.3">
      <c r="A225" t="s">
        <v>28</v>
      </c>
      <c r="B225" t="s">
        <v>108</v>
      </c>
      <c r="C225" t="s">
        <v>22</v>
      </c>
      <c r="D225" t="s">
        <v>23</v>
      </c>
      <c r="E225" t="s">
        <v>56</v>
      </c>
      <c r="F225" t="s">
        <v>36</v>
      </c>
      <c r="G225" t="s">
        <v>37</v>
      </c>
      <c r="I225" s="8">
        <v>45345</v>
      </c>
      <c r="J225">
        <v>2</v>
      </c>
      <c r="K225" t="s">
        <v>501</v>
      </c>
      <c r="L225" t="s">
        <v>110</v>
      </c>
      <c r="M225" t="s">
        <v>419</v>
      </c>
    </row>
    <row r="226" spans="1:13" x14ac:dyDescent="0.3">
      <c r="A226" t="s">
        <v>28</v>
      </c>
      <c r="B226" t="s">
        <v>108</v>
      </c>
      <c r="C226" t="s">
        <v>142</v>
      </c>
      <c r="D226" t="s">
        <v>143</v>
      </c>
      <c r="E226" t="s">
        <v>144</v>
      </c>
      <c r="F226" t="s">
        <v>125</v>
      </c>
      <c r="G226" t="s">
        <v>152</v>
      </c>
      <c r="I226" s="8">
        <v>45385</v>
      </c>
      <c r="J226">
        <v>2</v>
      </c>
      <c r="K226" t="s">
        <v>502</v>
      </c>
      <c r="L226" t="s">
        <v>110</v>
      </c>
      <c r="M226" t="s">
        <v>421</v>
      </c>
    </row>
    <row r="227" spans="1:13" x14ac:dyDescent="0.3">
      <c r="A227" t="s">
        <v>28</v>
      </c>
      <c r="B227" t="s">
        <v>108</v>
      </c>
      <c r="C227" t="s">
        <v>116</v>
      </c>
      <c r="D227" t="s">
        <v>146</v>
      </c>
      <c r="E227" t="s">
        <v>147</v>
      </c>
      <c r="F227" t="s">
        <v>125</v>
      </c>
      <c r="G227" t="s">
        <v>152</v>
      </c>
      <c r="I227" s="8">
        <v>45408</v>
      </c>
      <c r="J227">
        <v>2</v>
      </c>
      <c r="K227" t="s">
        <v>503</v>
      </c>
      <c r="L227" t="s">
        <v>110</v>
      </c>
      <c r="M227" t="s">
        <v>423</v>
      </c>
    </row>
    <row r="228" spans="1:13" x14ac:dyDescent="0.3">
      <c r="A228" t="s">
        <v>28</v>
      </c>
      <c r="B228" t="s">
        <v>108</v>
      </c>
      <c r="C228" t="s">
        <v>116</v>
      </c>
      <c r="D228" t="s">
        <v>146</v>
      </c>
      <c r="E228" t="s">
        <v>147</v>
      </c>
      <c r="F228" t="s">
        <v>125</v>
      </c>
      <c r="G228" t="s">
        <v>152</v>
      </c>
      <c r="I228" s="8">
        <v>45411</v>
      </c>
      <c r="J228">
        <v>2</v>
      </c>
      <c r="K228" t="s">
        <v>504</v>
      </c>
      <c r="L228" t="s">
        <v>110</v>
      </c>
      <c r="M228" t="s">
        <v>423</v>
      </c>
    </row>
    <row r="229" spans="1:13" x14ac:dyDescent="0.3">
      <c r="A229" t="s">
        <v>28</v>
      </c>
      <c r="B229" t="s">
        <v>162</v>
      </c>
      <c r="C229" t="s">
        <v>49</v>
      </c>
      <c r="D229" t="s">
        <v>164</v>
      </c>
      <c r="E229" t="s">
        <v>165</v>
      </c>
      <c r="F229" t="s">
        <v>58</v>
      </c>
      <c r="G229" t="s">
        <v>59</v>
      </c>
      <c r="I229" s="8">
        <v>45462</v>
      </c>
      <c r="J229">
        <v>5</v>
      </c>
      <c r="K229" t="s">
        <v>505</v>
      </c>
      <c r="L229" t="s">
        <v>110</v>
      </c>
      <c r="M229" t="s">
        <v>426</v>
      </c>
    </row>
    <row r="230" spans="1:13" x14ac:dyDescent="0.3">
      <c r="A230" t="s">
        <v>28</v>
      </c>
      <c r="B230" t="s">
        <v>162</v>
      </c>
      <c r="C230" t="s">
        <v>49</v>
      </c>
      <c r="D230" t="s">
        <v>164</v>
      </c>
      <c r="E230" t="s">
        <v>168</v>
      </c>
      <c r="F230" t="s">
        <v>58</v>
      </c>
      <c r="G230" t="s">
        <v>59</v>
      </c>
      <c r="I230" s="8">
        <v>45454</v>
      </c>
      <c r="J230">
        <v>2</v>
      </c>
      <c r="K230" t="s">
        <v>506</v>
      </c>
      <c r="L230" t="s">
        <v>110</v>
      </c>
      <c r="M230" t="s">
        <v>428</v>
      </c>
    </row>
    <row r="231" spans="1:13" x14ac:dyDescent="0.3">
      <c r="A231" t="s">
        <v>28</v>
      </c>
      <c r="B231" t="s">
        <v>452</v>
      </c>
      <c r="C231" t="s">
        <v>447</v>
      </c>
      <c r="D231" t="s">
        <v>448</v>
      </c>
      <c r="E231" t="s">
        <v>450</v>
      </c>
      <c r="F231" t="s">
        <v>453</v>
      </c>
      <c r="G231" t="s">
        <v>454</v>
      </c>
      <c r="I231" s="8">
        <v>45530</v>
      </c>
      <c r="J231">
        <v>4</v>
      </c>
      <c r="K231" t="s">
        <v>507</v>
      </c>
      <c r="M231" t="s">
        <v>508</v>
      </c>
    </row>
    <row r="232" spans="1:13" x14ac:dyDescent="0.3">
      <c r="A232" t="s">
        <v>28</v>
      </c>
      <c r="B232" t="s">
        <v>452</v>
      </c>
      <c r="C232" t="s">
        <v>447</v>
      </c>
      <c r="D232" t="s">
        <v>448</v>
      </c>
      <c r="E232" t="s">
        <v>450</v>
      </c>
      <c r="F232" t="s">
        <v>453</v>
      </c>
      <c r="G232" t="s">
        <v>454</v>
      </c>
      <c r="I232" s="8">
        <v>45533</v>
      </c>
      <c r="J232">
        <v>4</v>
      </c>
      <c r="K232" t="s">
        <v>509</v>
      </c>
      <c r="M232" t="s">
        <v>508</v>
      </c>
    </row>
    <row r="233" spans="1:13" x14ac:dyDescent="0.3">
      <c r="A233" t="s">
        <v>28</v>
      </c>
      <c r="B233" t="s">
        <v>455</v>
      </c>
      <c r="C233" t="s">
        <v>447</v>
      </c>
      <c r="D233" t="s">
        <v>448</v>
      </c>
      <c r="E233" t="s">
        <v>450</v>
      </c>
      <c r="F233" t="s">
        <v>456</v>
      </c>
      <c r="G233" t="s">
        <v>457</v>
      </c>
      <c r="I233" s="8">
        <v>45527</v>
      </c>
      <c r="J233">
        <v>4</v>
      </c>
      <c r="K233" t="s">
        <v>510</v>
      </c>
      <c r="M233" t="s">
        <v>511</v>
      </c>
    </row>
    <row r="234" spans="1:13" x14ac:dyDescent="0.3">
      <c r="A234" t="s">
        <v>28</v>
      </c>
      <c r="B234" t="s">
        <v>455</v>
      </c>
      <c r="C234" t="s">
        <v>447</v>
      </c>
      <c r="D234" t="s">
        <v>448</v>
      </c>
      <c r="E234" t="s">
        <v>450</v>
      </c>
      <c r="F234" t="s">
        <v>456</v>
      </c>
      <c r="G234" t="s">
        <v>457</v>
      </c>
      <c r="I234" s="8">
        <v>45531</v>
      </c>
      <c r="J234">
        <v>4</v>
      </c>
      <c r="K234" t="s">
        <v>512</v>
      </c>
      <c r="M234" t="s">
        <v>511</v>
      </c>
    </row>
    <row r="235" spans="1:13" x14ac:dyDescent="0.3">
      <c r="A235" t="s">
        <v>28</v>
      </c>
      <c r="B235" t="s">
        <v>452</v>
      </c>
      <c r="C235" t="s">
        <v>447</v>
      </c>
      <c r="D235" t="s">
        <v>448</v>
      </c>
      <c r="E235" t="s">
        <v>449</v>
      </c>
      <c r="F235" t="s">
        <v>458</v>
      </c>
      <c r="G235" t="s">
        <v>459</v>
      </c>
      <c r="I235" s="8">
        <v>45524</v>
      </c>
      <c r="J235">
        <v>2</v>
      </c>
      <c r="K235" t="s">
        <v>513</v>
      </c>
      <c r="M235" t="s">
        <v>514</v>
      </c>
    </row>
    <row r="236" spans="1:13" x14ac:dyDescent="0.3">
      <c r="A236" t="s">
        <v>28</v>
      </c>
      <c r="B236" t="s">
        <v>452</v>
      </c>
      <c r="C236" t="s">
        <v>447</v>
      </c>
      <c r="D236" t="s">
        <v>448</v>
      </c>
      <c r="E236" t="s">
        <v>449</v>
      </c>
      <c r="F236" t="s">
        <v>458</v>
      </c>
      <c r="G236" t="s">
        <v>459</v>
      </c>
      <c r="I236" s="8">
        <v>45525</v>
      </c>
      <c r="J236">
        <v>2</v>
      </c>
      <c r="K236" t="s">
        <v>515</v>
      </c>
      <c r="M236" t="s">
        <v>514</v>
      </c>
    </row>
    <row r="237" spans="1:13" x14ac:dyDescent="0.3">
      <c r="A237" t="s">
        <v>28</v>
      </c>
      <c r="B237" t="s">
        <v>111</v>
      </c>
      <c r="C237" t="s">
        <v>129</v>
      </c>
      <c r="D237" t="s">
        <v>130</v>
      </c>
      <c r="E237" t="s">
        <v>131</v>
      </c>
      <c r="F237" t="s">
        <v>121</v>
      </c>
      <c r="G237" t="s">
        <v>154</v>
      </c>
      <c r="I237" s="8">
        <v>45372</v>
      </c>
      <c r="J237">
        <v>1</v>
      </c>
      <c r="K237" t="s">
        <v>516</v>
      </c>
      <c r="L237" t="s">
        <v>112</v>
      </c>
      <c r="M237" t="s">
        <v>430</v>
      </c>
    </row>
    <row r="238" spans="1:13" x14ac:dyDescent="0.3">
      <c r="A238" t="s">
        <v>28</v>
      </c>
      <c r="B238" t="s">
        <v>153</v>
      </c>
      <c r="C238" t="s">
        <v>129</v>
      </c>
      <c r="D238" t="s">
        <v>130</v>
      </c>
      <c r="E238" t="s">
        <v>131</v>
      </c>
      <c r="F238" t="s">
        <v>155</v>
      </c>
      <c r="G238" t="s">
        <v>156</v>
      </c>
      <c r="I238" s="8">
        <v>45372</v>
      </c>
      <c r="J238">
        <v>1</v>
      </c>
      <c r="K238" t="s">
        <v>517</v>
      </c>
      <c r="M238" t="s">
        <v>432</v>
      </c>
    </row>
    <row r="239" spans="1:13" x14ac:dyDescent="0.3">
      <c r="A239" t="s">
        <v>28</v>
      </c>
      <c r="B239" t="s">
        <v>153</v>
      </c>
      <c r="C239" t="s">
        <v>114</v>
      </c>
      <c r="E239" t="s">
        <v>182</v>
      </c>
      <c r="F239" t="s">
        <v>158</v>
      </c>
      <c r="G239" t="s">
        <v>159</v>
      </c>
      <c r="I239" s="8">
        <v>45324</v>
      </c>
      <c r="J239">
        <v>2</v>
      </c>
      <c r="K239" t="s">
        <v>518</v>
      </c>
      <c r="M239" t="s">
        <v>434</v>
      </c>
    </row>
    <row r="240" spans="1:13" x14ac:dyDescent="0.3">
      <c r="A240" t="s">
        <v>28</v>
      </c>
      <c r="B240" t="s">
        <v>460</v>
      </c>
      <c r="C240" t="s">
        <v>439</v>
      </c>
      <c r="D240" t="s">
        <v>440</v>
      </c>
      <c r="E240" t="s">
        <v>441</v>
      </c>
      <c r="F240" t="s">
        <v>461</v>
      </c>
      <c r="G240" t="s">
        <v>462</v>
      </c>
      <c r="I240" s="8">
        <v>45539</v>
      </c>
      <c r="J240">
        <v>4</v>
      </c>
      <c r="K240" t="s">
        <v>519</v>
      </c>
      <c r="M240" t="s">
        <v>520</v>
      </c>
    </row>
    <row r="241" spans="1:13" x14ac:dyDescent="0.3">
      <c r="A241" t="s">
        <v>28</v>
      </c>
      <c r="B241" t="s">
        <v>460</v>
      </c>
      <c r="C241" t="s">
        <v>439</v>
      </c>
      <c r="D241" t="s">
        <v>440</v>
      </c>
      <c r="E241" t="s">
        <v>441</v>
      </c>
      <c r="F241" t="s">
        <v>461</v>
      </c>
      <c r="G241" t="s">
        <v>462</v>
      </c>
      <c r="I241" s="8">
        <v>45545</v>
      </c>
      <c r="J241">
        <v>2</v>
      </c>
      <c r="K241" t="s">
        <v>521</v>
      </c>
      <c r="M241" t="s">
        <v>520</v>
      </c>
    </row>
    <row r="242" spans="1:13" x14ac:dyDescent="0.3">
      <c r="A242" t="s">
        <v>28</v>
      </c>
      <c r="B242" t="s">
        <v>463</v>
      </c>
      <c r="C242" t="s">
        <v>439</v>
      </c>
      <c r="D242" t="s">
        <v>440</v>
      </c>
      <c r="E242" t="s">
        <v>441</v>
      </c>
      <c r="F242" t="s">
        <v>464</v>
      </c>
      <c r="G242" t="s">
        <v>465</v>
      </c>
      <c r="I242" s="8">
        <v>45539</v>
      </c>
      <c r="J242">
        <v>4</v>
      </c>
      <c r="K242" t="s">
        <v>522</v>
      </c>
      <c r="M242" t="s">
        <v>523</v>
      </c>
    </row>
    <row r="243" spans="1:13" x14ac:dyDescent="0.3">
      <c r="A243" t="s">
        <v>28</v>
      </c>
      <c r="B243" t="s">
        <v>463</v>
      </c>
      <c r="C243" t="s">
        <v>439</v>
      </c>
      <c r="D243" t="s">
        <v>440</v>
      </c>
      <c r="E243" t="s">
        <v>441</v>
      </c>
      <c r="F243" t="s">
        <v>464</v>
      </c>
      <c r="G243" t="s">
        <v>465</v>
      </c>
      <c r="I243" s="8">
        <v>45545</v>
      </c>
      <c r="J243">
        <v>2</v>
      </c>
      <c r="K243" t="s">
        <v>524</v>
      </c>
      <c r="M243" t="s">
        <v>523</v>
      </c>
    </row>
    <row r="244" spans="1:13" x14ac:dyDescent="0.3">
      <c r="A244" t="s">
        <v>28</v>
      </c>
      <c r="B244" t="s">
        <v>460</v>
      </c>
      <c r="C244" t="s">
        <v>439</v>
      </c>
      <c r="D244" t="s">
        <v>443</v>
      </c>
      <c r="E244" t="s">
        <v>444</v>
      </c>
      <c r="F244" t="s">
        <v>461</v>
      </c>
      <c r="G244" t="s">
        <v>462</v>
      </c>
      <c r="I244" s="8">
        <v>45547</v>
      </c>
      <c r="J244">
        <v>2</v>
      </c>
      <c r="K244" t="s">
        <v>525</v>
      </c>
      <c r="M244" t="s">
        <v>526</v>
      </c>
    </row>
    <row r="245" spans="1:13" x14ac:dyDescent="0.3">
      <c r="A245" t="s">
        <v>28</v>
      </c>
      <c r="B245" t="s">
        <v>463</v>
      </c>
      <c r="C245" t="s">
        <v>439</v>
      </c>
      <c r="D245" t="s">
        <v>443</v>
      </c>
      <c r="E245" t="s">
        <v>444</v>
      </c>
      <c r="F245" t="s">
        <v>464</v>
      </c>
      <c r="G245" t="s">
        <v>465</v>
      </c>
      <c r="I245" s="8">
        <v>45547</v>
      </c>
      <c r="J245">
        <v>2</v>
      </c>
      <c r="K245" t="s">
        <v>527</v>
      </c>
      <c r="M245" t="s">
        <v>528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E8C4C96F375884CBD015BB874F4DB4B" ma:contentTypeVersion="6" ma:contentTypeDescription="Create a new document." ma:contentTypeScope="" ma:versionID="8542fedbd70f3cd41b7a41c85687f2c0">
  <xsd:schema xmlns:xsd="http://www.w3.org/2001/XMLSchema" xmlns:xs="http://www.w3.org/2001/XMLSchema" xmlns:p="http://schemas.microsoft.com/office/2006/metadata/properties" xmlns:ns2="8b2b896a-e265-40d0-bfe7-08df20562b7a" xmlns:ns3="b7acbb68-5ef3-4779-9297-5357502905ac" targetNamespace="http://schemas.microsoft.com/office/2006/metadata/properties" ma:root="true" ma:fieldsID="8cc7b76acff8c2d429c5f00cbbcc63d6" ns2:_="" ns3:_="">
    <xsd:import namespace="8b2b896a-e265-40d0-bfe7-08df20562b7a"/>
    <xsd:import namespace="b7acbb68-5ef3-4779-9297-5357502905a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2b896a-e265-40d0-bfe7-08df20562b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acbb68-5ef3-4779-9297-5357502905ac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3B67639-F7B3-41F9-AE7D-A80407EDE8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EC8ACD7-6B23-4B77-BFA9-D9333A909C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b2b896a-e265-40d0-bfe7-08df20562b7a"/>
    <ds:schemaRef ds:uri="b7acbb68-5ef3-4779-9297-5357502905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E3C1E81-2E77-488B-AA98-69A063682F7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plan_spl</vt:lpstr>
      <vt:lpstr>Original</vt:lpstr>
      <vt:lpstr>achProcess</vt:lpstr>
      <vt:lpstr>Transformed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YangHa Park</dc:creator>
  <cp:lastModifiedBy>YangHa Park</cp:lastModifiedBy>
  <dcterms:created xsi:type="dcterms:W3CDTF">2024-01-10T06:06:32Z</dcterms:created>
  <dcterms:modified xsi:type="dcterms:W3CDTF">2024-06-17T01:29:59Z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0x0101004E8C4C96F375884CBD015BB874F4DB4B</vt:lpwstr>
  </property>
</Properties>
</file>